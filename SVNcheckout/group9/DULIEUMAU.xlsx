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900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00" windowHeight="7530" xr2:uid="{00000000-000D-0000-FFFF-FFFF00000000}"/>
  </bookViews>
  <sheets>
    <sheet name="Tổng hợp DL kỳ của Khoa" sheetId="1" r:id="rId1"/>
    <sheet name="Tổng dữ liệu kỳ" sheetId="2" r:id="rId2"/>
    <sheet name="Tổng hợp điểm theo lớp" sheetId="3" r:id="rId3"/>
    <sheet name="Tổng hợp kết quảSV theo năm" sheetId="4" r:id="rId4"/>
    <sheet name="Phân bố học tập theo kỳ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8" i="4" l="1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6" i="4"/>
  <c r="J25" i="4"/>
  <c r="J24" i="4"/>
  <c r="J27" i="4"/>
  <c r="J23" i="4"/>
  <c r="J22" i="4"/>
  <c r="J21" i="4"/>
  <c r="J20" i="4"/>
  <c r="J18" i="4"/>
  <c r="J19" i="4" s="1"/>
  <c r="J17" i="4"/>
  <c r="J16" i="4"/>
  <c r="J15" i="4"/>
  <c r="J14" i="4"/>
  <c r="J13" i="4"/>
  <c r="J12" i="4"/>
  <c r="J11" i="4"/>
  <c r="J10" i="4"/>
  <c r="J9" i="4"/>
  <c r="J5" i="4"/>
  <c r="J8" i="4"/>
  <c r="J7" i="4"/>
  <c r="J6" i="4"/>
  <c r="C69" i="2" l="1"/>
  <c r="D69" i="2" s="1"/>
  <c r="C68" i="2"/>
  <c r="D68" i="2" s="1"/>
  <c r="C67" i="2"/>
  <c r="D67" i="2" s="1"/>
  <c r="C66" i="2"/>
  <c r="D66" i="2" s="1"/>
  <c r="C65" i="2"/>
  <c r="D65" i="2" s="1"/>
  <c r="C64" i="2"/>
  <c r="D64" i="2" s="1"/>
  <c r="C63" i="2"/>
  <c r="D63" i="2" s="1"/>
  <c r="C62" i="2"/>
  <c r="D62" i="2" s="1"/>
  <c r="H56" i="2"/>
  <c r="G56" i="2"/>
  <c r="F56" i="2"/>
  <c r="E56" i="2"/>
  <c r="D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6" i="2" l="1"/>
  <c r="D60" i="2" s="1"/>
  <c r="C60" i="2"/>
  <c r="M16" i="1"/>
  <c r="M15" i="1"/>
  <c r="M14" i="1"/>
  <c r="M13" i="1"/>
  <c r="M12" i="1"/>
  <c r="M11" i="1"/>
  <c r="M10" i="1"/>
  <c r="M9" i="1"/>
  <c r="M8" i="1"/>
  <c r="M7" i="1"/>
  <c r="M6" i="1"/>
  <c r="M5" i="1"/>
  <c r="M4" i="1"/>
  <c r="L5" i="1"/>
  <c r="L6" i="1"/>
  <c r="L7" i="1"/>
  <c r="L8" i="1"/>
  <c r="L9" i="1"/>
  <c r="L10" i="1"/>
  <c r="L11" i="1"/>
  <c r="L12" i="1"/>
  <c r="L13" i="1"/>
  <c r="L14" i="1"/>
  <c r="L15" i="1"/>
  <c r="L16" i="1"/>
  <c r="L4" i="1"/>
  <c r="K5" i="1"/>
  <c r="K6" i="1"/>
  <c r="K7" i="1"/>
  <c r="K8" i="1"/>
  <c r="K9" i="1"/>
  <c r="K10" i="1"/>
  <c r="K11" i="1"/>
  <c r="K12" i="1"/>
  <c r="K13" i="1"/>
  <c r="K14" i="1"/>
  <c r="K15" i="1"/>
  <c r="K16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4" i="1"/>
</calcChain>
</file>

<file path=xl/sharedStrings.xml><?xml version="1.0" encoding="utf-8"?>
<sst xmlns="http://schemas.openxmlformats.org/spreadsheetml/2006/main" count="517" uniqueCount="245">
  <si>
    <t>Mã khoa</t>
  </si>
  <si>
    <t>Mã lớp</t>
  </si>
  <si>
    <t xml:space="preserve">Tên lớp </t>
  </si>
  <si>
    <t>%Trung Bình</t>
  </si>
  <si>
    <t xml:space="preserve">% Khá </t>
  </si>
  <si>
    <t>%Giỏi</t>
  </si>
  <si>
    <t xml:space="preserve">%Yếu </t>
  </si>
  <si>
    <t>%Xuất sắc</t>
  </si>
  <si>
    <t>Công nghệ thông tin</t>
  </si>
  <si>
    <t>D480201</t>
  </si>
  <si>
    <t>Kỹ thuật phần mềm</t>
  </si>
  <si>
    <t>D480103</t>
  </si>
  <si>
    <t>Khoa học máy tính</t>
  </si>
  <si>
    <t>D480101</t>
  </si>
  <si>
    <t>Hệ thống thông tin</t>
  </si>
  <si>
    <t>D480104</t>
  </si>
  <si>
    <t>Mạng máy tính</t>
  </si>
  <si>
    <t>D480102</t>
  </si>
  <si>
    <t>Số lượng yếu</t>
  </si>
  <si>
    <t>Số lượng trung bình</t>
  </si>
  <si>
    <t>Số lượng khá</t>
  </si>
  <si>
    <t>Số lượng giỏi</t>
  </si>
  <si>
    <t xml:space="preserve">Số lượng xuất sắc </t>
  </si>
  <si>
    <t>Điện, điện tử</t>
  </si>
  <si>
    <t>Điện tử viễn thông</t>
  </si>
  <si>
    <t>D520201</t>
  </si>
  <si>
    <t>Tự động hóa</t>
  </si>
  <si>
    <t>D520216</t>
  </si>
  <si>
    <t>Cơ khí</t>
  </si>
  <si>
    <t>Chế tạo máy</t>
  </si>
  <si>
    <t>D520103</t>
  </si>
  <si>
    <t>Kỹ thuật ô tô</t>
  </si>
  <si>
    <t>Cơ điện tử</t>
  </si>
  <si>
    <t>D520114</t>
  </si>
  <si>
    <t>Xây dựng</t>
  </si>
  <si>
    <t>D580208</t>
  </si>
  <si>
    <t>Công trình giao thông</t>
  </si>
  <si>
    <t>D580205</t>
  </si>
  <si>
    <t>Công nghệ hóa học</t>
  </si>
  <si>
    <t>D510401</t>
  </si>
  <si>
    <t>Tổng hợp dữ liệu kỳ của các khoa</t>
  </si>
  <si>
    <t>TỔNG HỢP DỮ LIỆU KỲ</t>
  </si>
  <si>
    <t>STT</t>
  </si>
  <si>
    <t>Mã SV (char (10))</t>
  </si>
  <si>
    <t>Tên SV (nvarchar(50))</t>
  </si>
  <si>
    <t>Số TCTL ( int )</t>
  </si>
  <si>
    <t>Điểm TBTL (float)</t>
  </si>
  <si>
    <t>Số TCĐK (int)</t>
  </si>
  <si>
    <t>Điểm TBHK (float)</t>
  </si>
  <si>
    <t>Số TCQ (int)</t>
  </si>
  <si>
    <t>Số TCN (float)</t>
  </si>
  <si>
    <t>Ghi chú (nvarchar(50))</t>
  </si>
  <si>
    <t>Vũ Thị Lê</t>
  </si>
  <si>
    <t>Hoàng Văn Tùng</t>
  </si>
  <si>
    <t>Lê Văn Tính</t>
  </si>
  <si>
    <t>Đặng Văn Đức</t>
  </si>
  <si>
    <t>Nguyễn Sỹ Khánh</t>
  </si>
  <si>
    <t>Nguyễn Thùy Linh</t>
  </si>
  <si>
    <t>Lê Công An</t>
  </si>
  <si>
    <t>Hoàng Mạnh Thiên</t>
  </si>
  <si>
    <t>Vũ Việt Anh</t>
  </si>
  <si>
    <t>Vũ Đức Luật</t>
  </si>
  <si>
    <t>Hoàng Mạnh Tùng</t>
  </si>
  <si>
    <t>Nguyễn Công Thắng</t>
  </si>
  <si>
    <t>Nguyễn Sỹ Dũng</t>
  </si>
  <si>
    <t>Đặng Văn Hoàng</t>
  </si>
  <si>
    <t>Hoàng Thanh Nhàn</t>
  </si>
  <si>
    <t>Nguyễn Minh Phương</t>
  </si>
  <si>
    <t>Nguyễn Thị Trang</t>
  </si>
  <si>
    <t>Lê Thị Oanh</t>
  </si>
  <si>
    <t>Trần Mạnh Duy</t>
  </si>
  <si>
    <t>Nguyễn Văn Giáp</t>
  </si>
  <si>
    <t>Phạm Văn Hiếu</t>
  </si>
  <si>
    <t>Đặng Công Hùng</t>
  </si>
  <si>
    <t>Nguyễn Hữu Tuấn</t>
  </si>
  <si>
    <t>Hoàng Thu An</t>
  </si>
  <si>
    <t>Phạm Thu Anh</t>
  </si>
  <si>
    <t>Nguyễn Văn Tùng</t>
  </si>
  <si>
    <t>Nguyễn Ngọc Anh</t>
  </si>
  <si>
    <t>Nguyễn Văn Phúc</t>
  </si>
  <si>
    <t>Lê Văn Hùng</t>
  </si>
  <si>
    <t>Phạm Vũ Mạnh</t>
  </si>
  <si>
    <t>Nguyễn Diễm My</t>
  </si>
  <si>
    <t>Vũ Xuân Toàn</t>
  </si>
  <si>
    <t>Ngô Văn Tú</t>
  </si>
  <si>
    <t>Hoàng Mạnh Trường</t>
  </si>
  <si>
    <t>Lê Mạnh Trường</t>
  </si>
  <si>
    <t>Lê Thị Hà</t>
  </si>
  <si>
    <t>Hoàng Văn Kiên</t>
  </si>
  <si>
    <t>Lê Kiều Oanh</t>
  </si>
  <si>
    <t>Nguyễn Thị Mai</t>
  </si>
  <si>
    <t>Lê Tuấn Anh</t>
  </si>
  <si>
    <t>Nguyễn Đắc Trung</t>
  </si>
  <si>
    <t>Phạm Văn Dung</t>
  </si>
  <si>
    <t>Hoàng Văn Thiên</t>
  </si>
  <si>
    <t>Lê Công Dũng</t>
  </si>
  <si>
    <t>Nguyễn Văn Trường</t>
  </si>
  <si>
    <t>Vũ Thị Lụa</t>
  </si>
  <si>
    <t>Ngô Thị Trang</t>
  </si>
  <si>
    <t>Lê Công Lý</t>
  </si>
  <si>
    <t>Nguyễn Diễm Mỹ</t>
  </si>
  <si>
    <t xml:space="preserve">Đình chỉ </t>
  </si>
  <si>
    <t>Total</t>
  </si>
  <si>
    <t>Số Lượng</t>
  </si>
  <si>
    <t>Tỷ Lệ</t>
  </si>
  <si>
    <t>Số tín chỉ nợ</t>
  </si>
  <si>
    <t>Học Lực</t>
  </si>
  <si>
    <t>Xuất Sắc</t>
  </si>
  <si>
    <t>Giỏi</t>
  </si>
  <si>
    <t>Khá</t>
  </si>
  <si>
    <t>Trung Bình Khá</t>
  </si>
  <si>
    <t xml:space="preserve">Trung Bình </t>
  </si>
  <si>
    <t>Trung Bình Yếu</t>
  </si>
  <si>
    <t xml:space="preserve">Yếu </t>
  </si>
  <si>
    <t>Kém</t>
  </si>
  <si>
    <t>Họ và tên</t>
  </si>
  <si>
    <t>Mã SV</t>
  </si>
  <si>
    <t>Ngày sinh</t>
  </si>
  <si>
    <t>TBC HK</t>
  </si>
  <si>
    <t>Số TCDK</t>
  </si>
  <si>
    <t>Số TC nợ</t>
  </si>
  <si>
    <t>Hoàng Thị Thanh Nhàn</t>
  </si>
  <si>
    <t>15/10/1997</t>
  </si>
  <si>
    <t>14/10/1997</t>
  </si>
  <si>
    <t>13/10/1997</t>
  </si>
  <si>
    <t>Phạm Thị Trang</t>
  </si>
  <si>
    <t>Trần Thúy Mai</t>
  </si>
  <si>
    <t>An Thị Hương</t>
  </si>
  <si>
    <t>Phạm VŨ Mạnh</t>
  </si>
  <si>
    <t>Hoàng Mai Nghị</t>
  </si>
  <si>
    <t>Phan Sỹ Tuân</t>
  </si>
  <si>
    <t>Bùi Ngọc Tuyên</t>
  </si>
  <si>
    <t>Lương Văn Chung Đức</t>
  </si>
  <si>
    <t>Vũ Đức Độ</t>
  </si>
  <si>
    <t>Hoàng Thị Hợp</t>
  </si>
  <si>
    <t>Hoàng Đình Thi</t>
  </si>
  <si>
    <t>Nguyễn Mạnh Cường</t>
  </si>
  <si>
    <t>25/9/1997</t>
  </si>
  <si>
    <t>24/9/1997</t>
  </si>
  <si>
    <t>Bùi Minh Phương</t>
  </si>
  <si>
    <t>23/9/1997</t>
  </si>
  <si>
    <t>Nguyễn Trọng Dương</t>
  </si>
  <si>
    <t>22/9/1997</t>
  </si>
  <si>
    <t>21/9/1997</t>
  </si>
  <si>
    <t>Tổng hợp bảng điểm theo lớp</t>
  </si>
  <si>
    <t>Số tín chỉ</t>
  </si>
  <si>
    <t>Điểm trung bình</t>
  </si>
  <si>
    <t>Kỳ 1</t>
  </si>
  <si>
    <t>Kỳ 2</t>
  </si>
  <si>
    <t>Năm</t>
  </si>
  <si>
    <t>15/10/1996</t>
  </si>
  <si>
    <t>26/11/1996</t>
  </si>
  <si>
    <t>Phạm Minh Huy</t>
  </si>
  <si>
    <t>22/09/1997</t>
  </si>
  <si>
    <t>Nguyễn Thu Bình</t>
  </si>
  <si>
    <t>26/09/1996</t>
  </si>
  <si>
    <t>Trần Lâm Vũ</t>
  </si>
  <si>
    <t>Nguyễn Công Thương</t>
  </si>
  <si>
    <t>24/08/1997</t>
  </si>
  <si>
    <t>20/12/1996</t>
  </si>
  <si>
    <t>22/10/1997</t>
  </si>
  <si>
    <t>Phí Long Hải</t>
  </si>
  <si>
    <t>Nguyễn Quốc Tuấn</t>
  </si>
  <si>
    <t>Nguyễn Quang Minh</t>
  </si>
  <si>
    <t>22/02/1997</t>
  </si>
  <si>
    <t>13/07/1996</t>
  </si>
  <si>
    <t>Đàm Duy Thái</t>
  </si>
  <si>
    <t>29/01/1997</t>
  </si>
  <si>
    <t>Đặng Thị Dung</t>
  </si>
  <si>
    <t>Nguyễn Minh Quân</t>
  </si>
  <si>
    <t>Trần Thị Thúy Mai</t>
  </si>
  <si>
    <t>30/03/1996</t>
  </si>
  <si>
    <t>Hoàng Kim Nam Anh</t>
  </si>
  <si>
    <t>Nguyễn Ngọc Đạt</t>
  </si>
  <si>
    <t>21/07/1995</t>
  </si>
  <si>
    <t>Nguyễn Minh Tú</t>
  </si>
  <si>
    <t>19/09/1996</t>
  </si>
  <si>
    <t>Nguyễn Quang Huy</t>
  </si>
  <si>
    <t>Nguyễn ngọc Minh</t>
  </si>
  <si>
    <t>29/12/1996</t>
  </si>
  <si>
    <t>19/10/1997</t>
  </si>
  <si>
    <t>Trần Văn Chương</t>
  </si>
  <si>
    <t>25/04/1997</t>
  </si>
  <si>
    <t>Vương Hồng Thạch</t>
  </si>
  <si>
    <t>27/11/1997</t>
  </si>
  <si>
    <t>20/08/1997</t>
  </si>
  <si>
    <t>Nguyễn Thị Huệ</t>
  </si>
  <si>
    <t>30/08/1997</t>
  </si>
  <si>
    <t>Nguyễn Hải Anh</t>
  </si>
  <si>
    <t>15/06/1997</t>
  </si>
  <si>
    <t>Đỗ Xuân Tục</t>
  </si>
  <si>
    <t>Hoàng Thi Hợp</t>
  </si>
  <si>
    <t>22/01/1997</t>
  </si>
  <si>
    <t>Đặng ĐứcTrung</t>
  </si>
  <si>
    <t>Phan Thị Hạnh</t>
  </si>
  <si>
    <t>20/10/1997</t>
  </si>
  <si>
    <t>Nguyễn Khánh Phụng</t>
  </si>
  <si>
    <t>Đỗ Quốc Hưng</t>
  </si>
  <si>
    <t>Đỗ Đình Hưng</t>
  </si>
  <si>
    <t>16/01/1997</t>
  </si>
  <si>
    <t>24/06/1996</t>
  </si>
  <si>
    <t>20/02/1997</t>
  </si>
  <si>
    <t>Nguyễn Ngọc Phước</t>
  </si>
  <si>
    <t>25/01/1997</t>
  </si>
  <si>
    <t>23/08/1997</t>
  </si>
  <si>
    <t>Nguyễn Quang Trung</t>
  </si>
  <si>
    <t>16/08/197</t>
  </si>
  <si>
    <t>Đoàn Đình Dương</t>
  </si>
  <si>
    <t>Nguyễn Sơn Hà</t>
  </si>
  <si>
    <t>Bùi Khắc Tuấn</t>
  </si>
  <si>
    <t>21/04/1997</t>
  </si>
  <si>
    <t>Nguyễn Văn An</t>
  </si>
  <si>
    <t xml:space="preserve">Cao Tiến Trường </t>
  </si>
  <si>
    <t>Phạm Mạnh Cường</t>
  </si>
  <si>
    <t>Tên trường</t>
  </si>
  <si>
    <t>Kiểu</t>
  </si>
  <si>
    <t>Nchar</t>
  </si>
  <si>
    <t>Nvarchar</t>
  </si>
  <si>
    <t>Date</t>
  </si>
  <si>
    <t>Số TC</t>
  </si>
  <si>
    <t>Điểm</t>
  </si>
  <si>
    <t>Float</t>
  </si>
  <si>
    <t>Phân bố học tập của kỳ</t>
  </si>
  <si>
    <t>Tên SV</t>
  </si>
  <si>
    <t>Mã SV</t>
  </si>
  <si>
    <t>Môn học</t>
  </si>
  <si>
    <t>Kỳ 1:</t>
  </si>
  <si>
    <t>Học kỳ 1 - 2015 - 2016</t>
  </si>
  <si>
    <t>Hình giải tích và đại số tuyến tính</t>
  </si>
  <si>
    <t>Giải tích 1</t>
  </si>
  <si>
    <t>Lập trình cơ bản</t>
  </si>
  <si>
    <t>Quân sự chung và chiến thuật, kỹ thuật bắn súng TLAK</t>
  </si>
  <si>
    <t>Tên lớp</t>
  </si>
  <si>
    <t>CNTT14</t>
  </si>
  <si>
    <t>Kỳ 2</t>
  </si>
  <si>
    <t>Năm học: 2015-2016</t>
  </si>
  <si>
    <t>Những nguyên lý cơ bản của chủ nghĩa Mác - Lê nin 2</t>
  </si>
  <si>
    <t>Những nguyên lý cơ bản của chủ nghĩa Mác - Lê nin 1</t>
  </si>
  <si>
    <t>Giải tích 2</t>
  </si>
  <si>
    <t>Vật lý đại cương 1</t>
  </si>
  <si>
    <t>Thí nghiệm VLĐC 1</t>
  </si>
  <si>
    <t>Hình họa và vẽ kỹ thuật + BTL</t>
  </si>
  <si>
    <t>Giáo dục thể chất cơ bản</t>
  </si>
  <si>
    <t>Công tác quốc phòng an ninh</t>
  </si>
  <si>
    <t>BẢNG TỔNG HỢP KẾT QUẢ SINH VIÊN CỦA LỚP THEO NĂM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</si>
</sst>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Fill="1" applyBorder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5" fillId="0" borderId="1" xfId="0" applyFont="1" applyBorder="1"/>
    <xf numFmtId="0" fontId="0" fillId="0" borderId="1" xfId="0" applyNumberFormat="1" applyBorder="1"/>
    <xf numFmtId="9" fontId="0" fillId="0" borderId="1" xfId="1" applyFont="1" applyBorder="1"/>
    <xf numFmtId="0" fontId="0" fillId="0" borderId="1" xfId="0" quotePrefix="1" applyNumberFormat="1" applyBorder="1"/>
    <xf numFmtId="0" fontId="0" fillId="0" borderId="1" xfId="0" applyFont="1" applyBorder="1"/>
    <xf numFmtId="0" fontId="7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4" fontId="0" fillId="0" borderId="1" xfId="0" applyNumberFormat="1" applyBorder="1"/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5"/>
    </xf>
    <xf numFmtId="0" fontId="1" fillId="0" borderId="6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Fill="1" applyBorder="1"/>
    <xf numFmtId="14" fontId="1" fillId="0" borderId="10" xfId="0" applyNumberFormat="1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6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topLeftCell="C1" workbookViewId="0">
      <selection sqref="A1:P16"/>
    </sheetView>
  </sheetViews>
  <sheetFormatPr defaultRowHeight="15" x14ac:dyDescent="0.25"/>
  <cols>
    <col min="1" max="1" width="19.42578125" customWidth="1"/>
    <col min="2" max="2" width="20" customWidth="1"/>
    <col min="3" max="3" width="9.42578125" customWidth="1"/>
    <col min="4" max="4" width="12.28515625" customWidth="1"/>
    <col min="5" max="5" width="17.85546875" customWidth="1"/>
    <col min="6" max="6" width="12.5703125" customWidth="1"/>
    <col min="7" max="7" width="12.28515625" customWidth="1"/>
    <col min="8" max="8" width="16.5703125" customWidth="1"/>
    <col min="9" max="9" width="7" customWidth="1"/>
    <col min="10" max="10" width="12.28515625" customWidth="1"/>
    <col min="11" max="11" width="7.5703125" customWidth="1"/>
    <col min="12" max="12" width="7.7109375" customWidth="1"/>
    <col min="13" max="13" width="9.85546875" customWidth="1"/>
    <col min="14" max="14" width="0.42578125" customWidth="1"/>
    <col min="15" max="16" width="9.140625" hidden="1" customWidth="1"/>
  </cols>
  <sheetData>
    <row r="1" spans="1:16" ht="12" customHeight="1" x14ac:dyDescent="0.25">
      <c r="A1" s="38" t="s">
        <v>40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26.25" customHeigh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1:16" ht="21" customHeight="1" x14ac:dyDescent="0.25">
      <c r="A3" s="1" t="s">
        <v>0</v>
      </c>
      <c r="B3" s="1" t="s">
        <v>2</v>
      </c>
      <c r="C3" s="1" t="s">
        <v>1</v>
      </c>
      <c r="D3" s="1" t="s">
        <v>18</v>
      </c>
      <c r="E3" s="2" t="s">
        <v>19</v>
      </c>
      <c r="F3" s="1" t="s">
        <v>20</v>
      </c>
      <c r="G3" s="1" t="s">
        <v>21</v>
      </c>
      <c r="H3" s="1" t="s">
        <v>22</v>
      </c>
      <c r="I3" s="1" t="s">
        <v>6</v>
      </c>
      <c r="J3" s="1" t="s">
        <v>3</v>
      </c>
      <c r="K3" s="1" t="s">
        <v>4</v>
      </c>
      <c r="L3" s="1" t="s">
        <v>5</v>
      </c>
      <c r="M3" s="1" t="s">
        <v>7</v>
      </c>
    </row>
    <row r="4" spans="1:16" ht="20.25" customHeight="1" x14ac:dyDescent="0.25">
      <c r="A4" s="37" t="s">
        <v>8</v>
      </c>
      <c r="B4" s="1" t="s">
        <v>8</v>
      </c>
      <c r="C4" s="1" t="s">
        <v>9</v>
      </c>
      <c r="D4" s="3">
        <v>5</v>
      </c>
      <c r="E4" s="3">
        <v>9</v>
      </c>
      <c r="F4" s="3">
        <v>30</v>
      </c>
      <c r="G4" s="3">
        <v>25</v>
      </c>
      <c r="H4" s="3">
        <v>5</v>
      </c>
      <c r="I4" s="1">
        <f>ROUND(D4*100/(SUM(D4,E4,F4,G4,H4)),2)</f>
        <v>6.76</v>
      </c>
      <c r="J4" s="1">
        <f>ROUND(E4*100/(SUM(D4,E4,F4,G4,H4,)),2)</f>
        <v>12.16</v>
      </c>
      <c r="K4" s="1">
        <f>ROUND(F4*100/(SUM(D4,E4,F4,G4,H4)),2)</f>
        <v>40.54</v>
      </c>
      <c r="L4" s="1">
        <f>ROUND(G4*100/(SUM(D4,E4,F4,G4,H4)),2)</f>
        <v>33.78</v>
      </c>
      <c r="M4" s="1">
        <f>ROUND(H4*100/(SUM(D4,E4,F4,G4,H4)),2)</f>
        <v>6.76</v>
      </c>
      <c r="N4" s="4"/>
    </row>
    <row r="5" spans="1:16" ht="22.5" customHeight="1" x14ac:dyDescent="0.25">
      <c r="A5" s="37"/>
      <c r="B5" s="1" t="s">
        <v>10</v>
      </c>
      <c r="C5" s="1" t="s">
        <v>11</v>
      </c>
      <c r="D5" s="3">
        <v>2</v>
      </c>
      <c r="E5" s="3">
        <v>7</v>
      </c>
      <c r="F5" s="3">
        <v>35</v>
      </c>
      <c r="G5" s="3">
        <v>19</v>
      </c>
      <c r="H5" s="3">
        <v>2</v>
      </c>
      <c r="I5" s="1">
        <f t="shared" ref="I5:I16" si="0">ROUND(D5*100/(SUM(D5,E5,F5,G5,H5)),2)</f>
        <v>3.08</v>
      </c>
      <c r="J5" s="1">
        <f t="shared" ref="J5:J16" si="1">ROUND(E5*100/(SUM(D5,E5,F5,G5,H5,)),2)</f>
        <v>10.77</v>
      </c>
      <c r="K5" s="1">
        <f t="shared" ref="K5:K16" si="2">ROUND(F5*100/(SUM(D5,E5,F5,G5,H5)),2)</f>
        <v>53.85</v>
      </c>
      <c r="L5" s="1">
        <f t="shared" ref="L5:L16" si="3">ROUND(G5*100/(SUM(D5,E5,F5,G5,H5)),2)</f>
        <v>29.23</v>
      </c>
      <c r="M5" s="1">
        <f t="shared" ref="M5:M16" si="4">ROUND(H5*100/(SUM(D5,E5,F5,G5,H5)),2)</f>
        <v>3.08</v>
      </c>
    </row>
    <row r="6" spans="1:16" ht="21.75" customHeight="1" x14ac:dyDescent="0.25">
      <c r="A6" s="37"/>
      <c r="B6" s="1" t="s">
        <v>12</v>
      </c>
      <c r="C6" s="1" t="s">
        <v>13</v>
      </c>
      <c r="D6" s="3">
        <v>3</v>
      </c>
      <c r="E6" s="3">
        <v>8</v>
      </c>
      <c r="F6" s="3">
        <v>39</v>
      </c>
      <c r="G6" s="3">
        <v>14</v>
      </c>
      <c r="H6" s="3">
        <v>3</v>
      </c>
      <c r="I6" s="1">
        <f t="shared" si="0"/>
        <v>4.4800000000000004</v>
      </c>
      <c r="J6" s="1">
        <f t="shared" si="1"/>
        <v>11.94</v>
      </c>
      <c r="K6" s="1">
        <f t="shared" si="2"/>
        <v>58.21</v>
      </c>
      <c r="L6" s="1">
        <f t="shared" si="3"/>
        <v>20.9</v>
      </c>
      <c r="M6" s="1">
        <f t="shared" si="4"/>
        <v>4.4800000000000004</v>
      </c>
    </row>
    <row r="7" spans="1:16" ht="18" customHeight="1" x14ac:dyDescent="0.25">
      <c r="A7" s="37"/>
      <c r="B7" s="1" t="s">
        <v>14</v>
      </c>
      <c r="C7" s="1" t="s">
        <v>15</v>
      </c>
      <c r="D7" s="3">
        <v>6</v>
      </c>
      <c r="E7" s="3">
        <v>10</v>
      </c>
      <c r="F7" s="3">
        <v>36</v>
      </c>
      <c r="G7" s="3">
        <v>18</v>
      </c>
      <c r="H7" s="3">
        <v>4</v>
      </c>
      <c r="I7" s="1">
        <f t="shared" si="0"/>
        <v>8.11</v>
      </c>
      <c r="J7" s="1">
        <f t="shared" si="1"/>
        <v>13.51</v>
      </c>
      <c r="K7" s="1">
        <f t="shared" si="2"/>
        <v>48.65</v>
      </c>
      <c r="L7" s="1">
        <f t="shared" si="3"/>
        <v>24.32</v>
      </c>
      <c r="M7" s="1">
        <f t="shared" si="4"/>
        <v>5.41</v>
      </c>
    </row>
    <row r="8" spans="1:16" ht="19.5" customHeight="1" x14ac:dyDescent="0.25">
      <c r="A8" s="37"/>
      <c r="B8" s="1" t="s">
        <v>16</v>
      </c>
      <c r="C8" s="1" t="s">
        <v>17</v>
      </c>
      <c r="D8" s="3">
        <v>4</v>
      </c>
      <c r="E8" s="3">
        <v>14</v>
      </c>
      <c r="F8" s="3">
        <v>44</v>
      </c>
      <c r="G8" s="3">
        <v>15</v>
      </c>
      <c r="H8" s="3">
        <v>2</v>
      </c>
      <c r="I8" s="1">
        <f t="shared" si="0"/>
        <v>5.0599999999999996</v>
      </c>
      <c r="J8" s="1">
        <f t="shared" si="1"/>
        <v>17.72</v>
      </c>
      <c r="K8" s="1">
        <f t="shared" si="2"/>
        <v>55.7</v>
      </c>
      <c r="L8" s="1">
        <f t="shared" si="3"/>
        <v>18.989999999999998</v>
      </c>
      <c r="M8" s="1">
        <f t="shared" si="4"/>
        <v>2.5299999999999998</v>
      </c>
    </row>
    <row r="9" spans="1:16" ht="18.75" customHeight="1" x14ac:dyDescent="0.25">
      <c r="A9" s="1" t="s">
        <v>23</v>
      </c>
      <c r="B9" s="1" t="s">
        <v>24</v>
      </c>
      <c r="C9" s="1" t="s">
        <v>25</v>
      </c>
      <c r="D9" s="3">
        <v>7</v>
      </c>
      <c r="E9" s="3">
        <v>13</v>
      </c>
      <c r="F9" s="3">
        <v>33</v>
      </c>
      <c r="G9" s="3">
        <v>4</v>
      </c>
      <c r="H9" s="3">
        <v>1</v>
      </c>
      <c r="I9" s="1">
        <f t="shared" si="0"/>
        <v>12.07</v>
      </c>
      <c r="J9" s="1">
        <f t="shared" si="1"/>
        <v>22.41</v>
      </c>
      <c r="K9" s="1">
        <f t="shared" si="2"/>
        <v>56.9</v>
      </c>
      <c r="L9" s="1">
        <f t="shared" si="3"/>
        <v>6.9</v>
      </c>
      <c r="M9" s="1">
        <f t="shared" si="4"/>
        <v>1.72</v>
      </c>
    </row>
    <row r="10" spans="1:16" ht="18.75" customHeight="1" x14ac:dyDescent="0.25">
      <c r="A10" s="1" t="s">
        <v>26</v>
      </c>
      <c r="B10" s="1" t="s">
        <v>26</v>
      </c>
      <c r="C10" s="1" t="s">
        <v>27</v>
      </c>
      <c r="D10" s="3">
        <v>10</v>
      </c>
      <c r="E10" s="3">
        <v>10</v>
      </c>
      <c r="F10" s="3">
        <v>35</v>
      </c>
      <c r="G10" s="3">
        <v>9</v>
      </c>
      <c r="H10" s="3">
        <v>0</v>
      </c>
      <c r="I10" s="1">
        <f t="shared" si="0"/>
        <v>15.63</v>
      </c>
      <c r="J10" s="1">
        <f t="shared" si="1"/>
        <v>15.63</v>
      </c>
      <c r="K10" s="1">
        <f t="shared" si="2"/>
        <v>54.69</v>
      </c>
      <c r="L10" s="1">
        <f t="shared" si="3"/>
        <v>14.06</v>
      </c>
      <c r="M10" s="1">
        <f t="shared" si="4"/>
        <v>0</v>
      </c>
    </row>
    <row r="11" spans="1:16" ht="19.5" customHeight="1" x14ac:dyDescent="0.25">
      <c r="A11" s="37" t="s">
        <v>28</v>
      </c>
      <c r="B11" s="1" t="s">
        <v>29</v>
      </c>
      <c r="C11" s="1" t="s">
        <v>30</v>
      </c>
      <c r="D11" s="3">
        <v>8</v>
      </c>
      <c r="E11" s="3">
        <v>6</v>
      </c>
      <c r="F11" s="3">
        <v>45</v>
      </c>
      <c r="G11" s="3">
        <v>6</v>
      </c>
      <c r="H11" s="3">
        <v>1</v>
      </c>
      <c r="I11" s="1">
        <f t="shared" si="0"/>
        <v>12.12</v>
      </c>
      <c r="J11" s="1">
        <f t="shared" si="1"/>
        <v>9.09</v>
      </c>
      <c r="K11" s="1">
        <f t="shared" si="2"/>
        <v>68.180000000000007</v>
      </c>
      <c r="L11" s="1">
        <f t="shared" si="3"/>
        <v>9.09</v>
      </c>
      <c r="M11" s="1">
        <f t="shared" si="4"/>
        <v>1.52</v>
      </c>
    </row>
    <row r="12" spans="1:16" ht="19.5" customHeight="1" x14ac:dyDescent="0.25">
      <c r="A12" s="37"/>
      <c r="B12" s="1" t="s">
        <v>31</v>
      </c>
      <c r="C12" s="1" t="s">
        <v>30</v>
      </c>
      <c r="D12" s="3">
        <v>6</v>
      </c>
      <c r="E12" s="3">
        <v>8</v>
      </c>
      <c r="F12" s="3">
        <v>41</v>
      </c>
      <c r="G12" s="3">
        <v>4</v>
      </c>
      <c r="H12" s="3">
        <v>2</v>
      </c>
      <c r="I12" s="1">
        <f t="shared" si="0"/>
        <v>9.84</v>
      </c>
      <c r="J12" s="1">
        <f t="shared" si="1"/>
        <v>13.11</v>
      </c>
      <c r="K12" s="1">
        <f t="shared" si="2"/>
        <v>67.209999999999994</v>
      </c>
      <c r="L12" s="1">
        <f t="shared" si="3"/>
        <v>6.56</v>
      </c>
      <c r="M12" s="1">
        <f t="shared" si="4"/>
        <v>3.28</v>
      </c>
    </row>
    <row r="13" spans="1:16" ht="20.25" customHeight="1" x14ac:dyDescent="0.25">
      <c r="A13" s="1" t="s">
        <v>32</v>
      </c>
      <c r="B13" s="1" t="s">
        <v>32</v>
      </c>
      <c r="C13" s="1" t="s">
        <v>33</v>
      </c>
      <c r="D13" s="3">
        <v>8</v>
      </c>
      <c r="E13" s="3">
        <v>15</v>
      </c>
      <c r="F13" s="3">
        <v>35</v>
      </c>
      <c r="G13" s="3">
        <v>8</v>
      </c>
      <c r="H13" s="3">
        <v>2</v>
      </c>
      <c r="I13" s="1">
        <f t="shared" si="0"/>
        <v>11.76</v>
      </c>
      <c r="J13" s="1">
        <f t="shared" si="1"/>
        <v>22.06</v>
      </c>
      <c r="K13" s="1">
        <f t="shared" si="2"/>
        <v>51.47</v>
      </c>
      <c r="L13" s="1">
        <f t="shared" si="3"/>
        <v>11.76</v>
      </c>
      <c r="M13" s="1">
        <f t="shared" si="4"/>
        <v>2.94</v>
      </c>
    </row>
    <row r="14" spans="1:16" ht="19.5" customHeight="1" x14ac:dyDescent="0.25">
      <c r="A14" s="37" t="s">
        <v>34</v>
      </c>
      <c r="B14" s="1" t="s">
        <v>34</v>
      </c>
      <c r="C14" s="1" t="s">
        <v>35</v>
      </c>
      <c r="D14" s="3">
        <v>6</v>
      </c>
      <c r="E14" s="3">
        <v>13</v>
      </c>
      <c r="F14" s="3">
        <v>44</v>
      </c>
      <c r="G14" s="3">
        <v>5</v>
      </c>
      <c r="H14" s="3">
        <v>1</v>
      </c>
      <c r="I14" s="1">
        <f t="shared" si="0"/>
        <v>8.6999999999999993</v>
      </c>
      <c r="J14" s="1">
        <f t="shared" si="1"/>
        <v>18.84</v>
      </c>
      <c r="K14" s="1">
        <f t="shared" si="2"/>
        <v>63.77</v>
      </c>
      <c r="L14" s="1">
        <f t="shared" si="3"/>
        <v>7.25</v>
      </c>
      <c r="M14" s="1">
        <f t="shared" si="4"/>
        <v>1.45</v>
      </c>
    </row>
    <row r="15" spans="1:16" ht="17.25" customHeight="1" x14ac:dyDescent="0.25">
      <c r="A15" s="37"/>
      <c r="B15" s="1" t="s">
        <v>36</v>
      </c>
      <c r="C15" s="1" t="s">
        <v>37</v>
      </c>
      <c r="D15" s="3">
        <v>5</v>
      </c>
      <c r="E15" s="3">
        <v>10</v>
      </c>
      <c r="F15" s="3">
        <v>41</v>
      </c>
      <c r="G15" s="3">
        <v>4</v>
      </c>
      <c r="H15" s="3">
        <v>0</v>
      </c>
      <c r="I15" s="1">
        <f t="shared" si="0"/>
        <v>8.33</v>
      </c>
      <c r="J15" s="1">
        <f t="shared" si="1"/>
        <v>16.670000000000002</v>
      </c>
      <c r="K15" s="1">
        <f t="shared" si="2"/>
        <v>68.33</v>
      </c>
      <c r="L15" s="1">
        <f t="shared" si="3"/>
        <v>6.67</v>
      </c>
      <c r="M15" s="1">
        <f t="shared" si="4"/>
        <v>0</v>
      </c>
    </row>
    <row r="16" spans="1:16" ht="18" customHeight="1" x14ac:dyDescent="0.25">
      <c r="A16" s="1" t="s">
        <v>38</v>
      </c>
      <c r="B16" s="1" t="s">
        <v>38</v>
      </c>
      <c r="C16" s="1" t="s">
        <v>39</v>
      </c>
      <c r="D16" s="3">
        <v>4</v>
      </c>
      <c r="E16" s="3">
        <v>11</v>
      </c>
      <c r="F16" s="3">
        <v>40</v>
      </c>
      <c r="G16" s="3">
        <v>6</v>
      </c>
      <c r="H16" s="3">
        <v>0</v>
      </c>
      <c r="I16" s="1">
        <f t="shared" si="0"/>
        <v>6.56</v>
      </c>
      <c r="J16" s="1">
        <f t="shared" si="1"/>
        <v>18.03</v>
      </c>
      <c r="K16" s="1">
        <f t="shared" si="2"/>
        <v>65.569999999999993</v>
      </c>
      <c r="L16" s="1">
        <f t="shared" si="3"/>
        <v>9.84</v>
      </c>
      <c r="M16" s="1">
        <f t="shared" si="4"/>
        <v>0</v>
      </c>
    </row>
  </sheetData>
  <mergeCells count="4">
    <mergeCell ref="A14:A15"/>
    <mergeCell ref="A1:P2"/>
    <mergeCell ref="A4:A8"/>
    <mergeCell ref="A11:A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69"/>
  <sheetViews>
    <sheetView topLeftCell="F1" workbookViewId="0">
      <selection activeCell="A2" sqref="A2:J69"/>
    </sheetView>
  </sheetViews>
  <sheetFormatPr defaultRowHeight="15" x14ac:dyDescent="0.25"/>
  <cols>
    <col min="2" max="2" width="20.7109375" customWidth="1"/>
    <col min="3" max="3" width="24.5703125" customWidth="1"/>
    <col min="4" max="4" width="16.140625" customWidth="1"/>
    <col min="5" max="5" width="17.28515625" customWidth="1"/>
    <col min="6" max="6" width="15.28515625" customWidth="1"/>
    <col min="7" max="7" width="18.28515625" customWidth="1"/>
    <col min="8" max="8" width="14.85546875" customWidth="1"/>
    <col min="9" max="9" width="17.140625" customWidth="1"/>
    <col min="10" max="10" width="23" customWidth="1"/>
  </cols>
  <sheetData>
    <row r="2" spans="1:10" x14ac:dyDescent="0.25">
      <c r="C2" s="40" t="s">
        <v>41</v>
      </c>
      <c r="D2" s="41"/>
      <c r="E2" s="41"/>
      <c r="F2" s="41"/>
      <c r="G2" s="41"/>
      <c r="H2" s="41"/>
      <c r="I2" s="41"/>
      <c r="J2" s="41"/>
    </row>
    <row r="5" spans="1:10" x14ac:dyDescent="0.25">
      <c r="A5" s="5" t="s">
        <v>42</v>
      </c>
      <c r="B5" s="5" t="s">
        <v>43</v>
      </c>
      <c r="C5" s="5" t="s">
        <v>44</v>
      </c>
      <c r="D5" s="5" t="s">
        <v>45</v>
      </c>
      <c r="E5" s="5" t="s">
        <v>46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</row>
    <row r="6" spans="1:10" x14ac:dyDescent="0.25">
      <c r="A6" s="6">
        <v>1</v>
      </c>
      <c r="B6" s="6">
        <v>15150345</v>
      </c>
      <c r="C6" s="6" t="s">
        <v>52</v>
      </c>
      <c r="D6" s="6">
        <v>67</v>
      </c>
      <c r="E6" s="6">
        <v>3.67</v>
      </c>
      <c r="F6" s="6">
        <v>22</v>
      </c>
      <c r="G6" s="6">
        <v>3.13</v>
      </c>
      <c r="H6" s="6">
        <v>22</v>
      </c>
      <c r="I6" s="6">
        <f>F6-H6</f>
        <v>0</v>
      </c>
      <c r="J6" s="7"/>
    </row>
    <row r="7" spans="1:10" x14ac:dyDescent="0.25">
      <c r="A7" s="6">
        <v>2</v>
      </c>
      <c r="B7" s="6">
        <v>15162435</v>
      </c>
      <c r="C7" s="6" t="s">
        <v>53</v>
      </c>
      <c r="D7" s="6">
        <v>50</v>
      </c>
      <c r="E7" s="6">
        <v>2.34</v>
      </c>
      <c r="F7" s="6">
        <v>20</v>
      </c>
      <c r="G7" s="6">
        <v>1.89</v>
      </c>
      <c r="H7" s="6">
        <v>19</v>
      </c>
      <c r="I7" s="6">
        <f t="shared" ref="I7:I55" si="0">F7-H7</f>
        <v>1</v>
      </c>
      <c r="J7" s="7"/>
    </row>
    <row r="8" spans="1:10" x14ac:dyDescent="0.25">
      <c r="A8" s="6">
        <v>3</v>
      </c>
      <c r="B8" s="6">
        <v>15150395</v>
      </c>
      <c r="C8" s="6" t="s">
        <v>54</v>
      </c>
      <c r="D8" s="6">
        <v>42</v>
      </c>
      <c r="E8" s="6">
        <v>2.89</v>
      </c>
      <c r="F8" s="6">
        <v>20</v>
      </c>
      <c r="G8" s="6">
        <v>2.12</v>
      </c>
      <c r="H8" s="6">
        <v>17</v>
      </c>
      <c r="I8" s="6">
        <f t="shared" si="0"/>
        <v>3</v>
      </c>
      <c r="J8" s="6"/>
    </row>
    <row r="9" spans="1:10" x14ac:dyDescent="0.25">
      <c r="A9" s="6">
        <v>4</v>
      </c>
      <c r="B9" s="6">
        <v>15150391</v>
      </c>
      <c r="C9" s="6" t="s">
        <v>55</v>
      </c>
      <c r="D9" s="6">
        <v>37</v>
      </c>
      <c r="E9" s="6">
        <v>3.12</v>
      </c>
      <c r="F9" s="6">
        <v>19</v>
      </c>
      <c r="G9" s="6">
        <v>2.56</v>
      </c>
      <c r="H9" s="6">
        <v>19</v>
      </c>
      <c r="I9" s="6">
        <f t="shared" si="0"/>
        <v>0</v>
      </c>
      <c r="J9" s="6"/>
    </row>
    <row r="10" spans="1:10" x14ac:dyDescent="0.25">
      <c r="A10" s="6">
        <v>5</v>
      </c>
      <c r="B10" s="6">
        <v>15150389</v>
      </c>
      <c r="C10" s="6" t="s">
        <v>56</v>
      </c>
      <c r="D10" s="6">
        <v>45</v>
      </c>
      <c r="E10" s="6">
        <v>2.85</v>
      </c>
      <c r="F10" s="6">
        <v>21</v>
      </c>
      <c r="G10" s="6">
        <v>3.23</v>
      </c>
      <c r="H10" s="6">
        <v>20</v>
      </c>
      <c r="I10" s="6">
        <f t="shared" si="0"/>
        <v>1</v>
      </c>
      <c r="J10" s="6"/>
    </row>
    <row r="11" spans="1:10" x14ac:dyDescent="0.25">
      <c r="A11" s="6">
        <v>6</v>
      </c>
      <c r="B11" s="6">
        <v>15150380</v>
      </c>
      <c r="C11" s="6" t="s">
        <v>57</v>
      </c>
      <c r="D11" s="6">
        <v>58</v>
      </c>
      <c r="E11" s="6">
        <v>2.67</v>
      </c>
      <c r="F11" s="6">
        <v>22</v>
      </c>
      <c r="G11" s="6">
        <v>1.89</v>
      </c>
      <c r="H11" s="6">
        <v>20</v>
      </c>
      <c r="I11" s="6">
        <f t="shared" si="0"/>
        <v>2</v>
      </c>
      <c r="J11" s="6"/>
    </row>
    <row r="12" spans="1:10" x14ac:dyDescent="0.25">
      <c r="A12" s="6">
        <v>7</v>
      </c>
      <c r="B12" s="6">
        <v>15150978</v>
      </c>
      <c r="C12" s="6" t="s">
        <v>58</v>
      </c>
      <c r="D12" s="6">
        <v>45</v>
      </c>
      <c r="E12" s="6">
        <v>1.56</v>
      </c>
      <c r="F12" s="6">
        <v>17</v>
      </c>
      <c r="G12" s="6">
        <v>2.78</v>
      </c>
      <c r="H12" s="6">
        <v>17</v>
      </c>
      <c r="I12" s="6">
        <f t="shared" si="0"/>
        <v>0</v>
      </c>
      <c r="J12" s="6"/>
    </row>
    <row r="13" spans="1:10" x14ac:dyDescent="0.25">
      <c r="A13" s="6">
        <v>8</v>
      </c>
      <c r="B13" s="6">
        <v>15152345</v>
      </c>
      <c r="C13" s="6" t="s">
        <v>59</v>
      </c>
      <c r="D13" s="6">
        <v>67</v>
      </c>
      <c r="E13" s="6">
        <v>1.45</v>
      </c>
      <c r="F13" s="6">
        <v>15</v>
      </c>
      <c r="G13" s="6">
        <v>3.56</v>
      </c>
      <c r="H13" s="6">
        <v>12</v>
      </c>
      <c r="I13" s="6">
        <f t="shared" si="0"/>
        <v>3</v>
      </c>
      <c r="J13" s="6"/>
    </row>
    <row r="14" spans="1:10" x14ac:dyDescent="0.25">
      <c r="A14" s="6">
        <v>9</v>
      </c>
      <c r="B14" s="6">
        <v>15158989</v>
      </c>
      <c r="C14" s="6" t="s">
        <v>60</v>
      </c>
      <c r="D14" s="6">
        <v>42</v>
      </c>
      <c r="E14" s="6">
        <v>2.67</v>
      </c>
      <c r="F14" s="6">
        <v>12</v>
      </c>
      <c r="G14" s="6">
        <v>1.45</v>
      </c>
      <c r="H14" s="6">
        <v>10</v>
      </c>
      <c r="I14" s="6">
        <f t="shared" si="0"/>
        <v>2</v>
      </c>
      <c r="J14" s="6"/>
    </row>
    <row r="15" spans="1:10" x14ac:dyDescent="0.25">
      <c r="A15" s="6">
        <v>10</v>
      </c>
      <c r="B15" s="6">
        <v>15150234</v>
      </c>
      <c r="C15" s="6" t="s">
        <v>61</v>
      </c>
      <c r="D15" s="6">
        <v>45</v>
      </c>
      <c r="E15" s="6">
        <v>2.89</v>
      </c>
      <c r="F15" s="6">
        <v>18</v>
      </c>
      <c r="G15" s="6">
        <v>3.45</v>
      </c>
      <c r="H15" s="6">
        <v>18</v>
      </c>
      <c r="I15" s="6">
        <f t="shared" si="0"/>
        <v>0</v>
      </c>
      <c r="J15" s="6"/>
    </row>
    <row r="16" spans="1:10" x14ac:dyDescent="0.25">
      <c r="A16" s="6">
        <v>11</v>
      </c>
      <c r="B16" s="6">
        <v>15150236</v>
      </c>
      <c r="C16" s="6" t="s">
        <v>58</v>
      </c>
      <c r="D16" s="6">
        <v>70</v>
      </c>
      <c r="E16" s="6">
        <v>3.24</v>
      </c>
      <c r="F16" s="6">
        <v>18</v>
      </c>
      <c r="G16" s="6">
        <v>3.11</v>
      </c>
      <c r="H16" s="6">
        <v>18</v>
      </c>
      <c r="I16" s="6">
        <f t="shared" si="0"/>
        <v>0</v>
      </c>
      <c r="J16" s="6"/>
    </row>
    <row r="17" spans="1:10" x14ac:dyDescent="0.25">
      <c r="A17" s="6">
        <v>12</v>
      </c>
      <c r="B17" s="6">
        <v>15150202</v>
      </c>
      <c r="C17" s="6" t="s">
        <v>62</v>
      </c>
      <c r="D17" s="6">
        <v>43</v>
      </c>
      <c r="E17" s="6">
        <v>3.56</v>
      </c>
      <c r="F17" s="6">
        <v>19</v>
      </c>
      <c r="G17" s="6">
        <v>2.34</v>
      </c>
      <c r="H17" s="6">
        <v>16</v>
      </c>
      <c r="I17" s="6">
        <f t="shared" si="0"/>
        <v>3</v>
      </c>
      <c r="J17" s="6"/>
    </row>
    <row r="18" spans="1:10" x14ac:dyDescent="0.25">
      <c r="A18" s="6">
        <v>13</v>
      </c>
      <c r="B18" s="6">
        <v>15158990</v>
      </c>
      <c r="C18" s="6" t="s">
        <v>63</v>
      </c>
      <c r="D18" s="6">
        <v>56</v>
      </c>
      <c r="E18" s="6">
        <v>3.19</v>
      </c>
      <c r="F18" s="6">
        <v>20</v>
      </c>
      <c r="G18" s="6">
        <v>3.03</v>
      </c>
      <c r="H18" s="6">
        <v>19</v>
      </c>
      <c r="I18" s="6">
        <f t="shared" si="0"/>
        <v>1</v>
      </c>
      <c r="J18" s="6"/>
    </row>
    <row r="19" spans="1:10" x14ac:dyDescent="0.25">
      <c r="A19" s="6">
        <v>14</v>
      </c>
      <c r="B19" s="6">
        <v>15157845</v>
      </c>
      <c r="C19" s="6" t="s">
        <v>64</v>
      </c>
      <c r="D19" s="6">
        <v>47</v>
      </c>
      <c r="E19" s="6">
        <v>2.4500000000000002</v>
      </c>
      <c r="F19" s="6">
        <v>21</v>
      </c>
      <c r="G19" s="6">
        <v>2.46</v>
      </c>
      <c r="H19" s="6">
        <v>21</v>
      </c>
      <c r="I19" s="6">
        <f t="shared" si="0"/>
        <v>0</v>
      </c>
      <c r="J19" s="6"/>
    </row>
    <row r="20" spans="1:10" x14ac:dyDescent="0.25">
      <c r="A20" s="6">
        <v>15</v>
      </c>
      <c r="B20" s="6">
        <v>15151234</v>
      </c>
      <c r="C20" s="6" t="s">
        <v>65</v>
      </c>
      <c r="D20" s="6">
        <v>49</v>
      </c>
      <c r="E20" s="6">
        <v>2.9</v>
      </c>
      <c r="F20" s="6">
        <v>22</v>
      </c>
      <c r="G20" s="6">
        <v>2.89</v>
      </c>
      <c r="H20" s="6">
        <v>22</v>
      </c>
      <c r="I20" s="6">
        <f t="shared" si="0"/>
        <v>0</v>
      </c>
      <c r="J20" s="6"/>
    </row>
    <row r="21" spans="1:10" x14ac:dyDescent="0.25">
      <c r="A21" s="6">
        <v>16</v>
      </c>
      <c r="B21" s="6">
        <v>15152345</v>
      </c>
      <c r="C21" s="6" t="s">
        <v>66</v>
      </c>
      <c r="D21" s="6">
        <v>50</v>
      </c>
      <c r="E21" s="6">
        <v>2.89</v>
      </c>
      <c r="F21" s="6">
        <v>21</v>
      </c>
      <c r="G21" s="6">
        <v>2.78</v>
      </c>
      <c r="H21" s="6">
        <v>20</v>
      </c>
      <c r="I21" s="6">
        <f t="shared" si="0"/>
        <v>1</v>
      </c>
      <c r="J21" s="6"/>
    </row>
    <row r="22" spans="1:10" x14ac:dyDescent="0.25">
      <c r="A22" s="6">
        <v>17</v>
      </c>
      <c r="B22" s="6">
        <v>15153456</v>
      </c>
      <c r="C22" s="6" t="s">
        <v>67</v>
      </c>
      <c r="D22" s="6">
        <v>45</v>
      </c>
      <c r="E22" s="6">
        <v>2.46</v>
      </c>
      <c r="F22" s="6">
        <v>22</v>
      </c>
      <c r="G22" s="6">
        <v>3.12</v>
      </c>
      <c r="H22" s="6">
        <v>22</v>
      </c>
      <c r="I22" s="6">
        <f t="shared" si="0"/>
        <v>0</v>
      </c>
      <c r="J22" s="6"/>
    </row>
    <row r="23" spans="1:10" x14ac:dyDescent="0.25">
      <c r="A23" s="6">
        <v>18</v>
      </c>
      <c r="B23" s="6">
        <v>15157890</v>
      </c>
      <c r="C23" s="6" t="s">
        <v>68</v>
      </c>
      <c r="D23" s="6">
        <v>65</v>
      </c>
      <c r="E23" s="6">
        <v>1.99</v>
      </c>
      <c r="F23" s="6">
        <v>21</v>
      </c>
      <c r="G23" s="6">
        <v>2.4500000000000002</v>
      </c>
      <c r="H23" s="6">
        <v>21</v>
      </c>
      <c r="I23" s="6">
        <f t="shared" si="0"/>
        <v>0</v>
      </c>
      <c r="J23" s="6"/>
    </row>
    <row r="24" spans="1:10" x14ac:dyDescent="0.25">
      <c r="A24" s="6">
        <v>19</v>
      </c>
      <c r="B24" s="6">
        <v>15155671</v>
      </c>
      <c r="C24" s="6" t="s">
        <v>69</v>
      </c>
      <c r="D24" s="6">
        <v>62</v>
      </c>
      <c r="E24" s="6">
        <v>2.11</v>
      </c>
      <c r="F24" s="6">
        <v>21</v>
      </c>
      <c r="G24" s="6">
        <v>2.34</v>
      </c>
      <c r="H24" s="6">
        <v>21</v>
      </c>
      <c r="I24" s="6">
        <f t="shared" si="0"/>
        <v>0</v>
      </c>
      <c r="J24" s="6"/>
    </row>
    <row r="25" spans="1:10" x14ac:dyDescent="0.25">
      <c r="A25" s="6">
        <v>20</v>
      </c>
      <c r="B25" s="6">
        <v>14152312</v>
      </c>
      <c r="C25" s="6" t="s">
        <v>70</v>
      </c>
      <c r="D25" s="6">
        <v>58</v>
      </c>
      <c r="E25" s="6">
        <v>3.56</v>
      </c>
      <c r="F25" s="6">
        <v>20</v>
      </c>
      <c r="G25" s="6">
        <v>3.41</v>
      </c>
      <c r="H25" s="6">
        <v>19</v>
      </c>
      <c r="I25" s="6">
        <f t="shared" si="0"/>
        <v>1</v>
      </c>
      <c r="J25" s="6"/>
    </row>
    <row r="26" spans="1:10" x14ac:dyDescent="0.25">
      <c r="A26" s="6">
        <v>21</v>
      </c>
      <c r="B26" s="6">
        <v>15169090</v>
      </c>
      <c r="C26" s="6" t="s">
        <v>71</v>
      </c>
      <c r="D26" s="6">
        <v>55</v>
      </c>
      <c r="E26" s="6">
        <v>2.89</v>
      </c>
      <c r="F26" s="6">
        <v>19</v>
      </c>
      <c r="G26" s="6">
        <v>3.11</v>
      </c>
      <c r="H26" s="6">
        <v>19</v>
      </c>
      <c r="I26" s="6">
        <f t="shared" si="0"/>
        <v>0</v>
      </c>
      <c r="J26" s="6"/>
    </row>
    <row r="27" spans="1:10" x14ac:dyDescent="0.25">
      <c r="A27" s="6">
        <v>22</v>
      </c>
      <c r="B27" s="6">
        <v>15152467</v>
      </c>
      <c r="C27" s="6" t="s">
        <v>72</v>
      </c>
      <c r="D27" s="6">
        <v>54</v>
      </c>
      <c r="E27" s="6">
        <v>3.13</v>
      </c>
      <c r="F27" s="6">
        <v>18</v>
      </c>
      <c r="G27" s="6">
        <v>2.78</v>
      </c>
      <c r="H27" s="6">
        <v>16</v>
      </c>
      <c r="I27" s="6">
        <f t="shared" si="0"/>
        <v>2</v>
      </c>
      <c r="J27" s="6"/>
    </row>
    <row r="28" spans="1:10" x14ac:dyDescent="0.25">
      <c r="A28" s="6">
        <v>23</v>
      </c>
      <c r="B28" s="6">
        <v>15158988</v>
      </c>
      <c r="C28" s="6" t="s">
        <v>73</v>
      </c>
      <c r="D28" s="6">
        <v>59</v>
      </c>
      <c r="E28" s="6">
        <v>2.78</v>
      </c>
      <c r="F28" s="6">
        <v>14</v>
      </c>
      <c r="G28" s="6">
        <v>2.4500000000000002</v>
      </c>
      <c r="H28" s="6">
        <v>12</v>
      </c>
      <c r="I28" s="6">
        <f t="shared" si="0"/>
        <v>2</v>
      </c>
      <c r="J28" s="6"/>
    </row>
    <row r="29" spans="1:10" x14ac:dyDescent="0.25">
      <c r="A29" s="6">
        <v>24</v>
      </c>
      <c r="B29" s="6">
        <v>15151213</v>
      </c>
      <c r="C29" s="6" t="s">
        <v>74</v>
      </c>
      <c r="D29" s="6">
        <v>62</v>
      </c>
      <c r="E29" s="6">
        <v>2.67</v>
      </c>
      <c r="F29" s="6">
        <v>18</v>
      </c>
      <c r="G29" s="6">
        <v>2.34</v>
      </c>
      <c r="H29" s="6">
        <v>15</v>
      </c>
      <c r="I29" s="6">
        <f t="shared" si="0"/>
        <v>3</v>
      </c>
      <c r="J29" s="6"/>
    </row>
    <row r="30" spans="1:10" x14ac:dyDescent="0.25">
      <c r="A30" s="6">
        <v>25</v>
      </c>
      <c r="B30" s="6">
        <v>15151314</v>
      </c>
      <c r="C30" s="6" t="s">
        <v>75</v>
      </c>
      <c r="D30" s="6">
        <v>63</v>
      </c>
      <c r="E30" s="6">
        <v>2.56</v>
      </c>
      <c r="F30" s="6">
        <v>17</v>
      </c>
      <c r="G30" s="6">
        <v>2.78</v>
      </c>
      <c r="H30" s="6">
        <v>17</v>
      </c>
      <c r="I30" s="6">
        <f t="shared" si="0"/>
        <v>0</v>
      </c>
      <c r="J30" s="6"/>
    </row>
    <row r="31" spans="1:10" x14ac:dyDescent="0.25">
      <c r="A31" s="6">
        <v>26</v>
      </c>
      <c r="B31" s="6">
        <v>15164546</v>
      </c>
      <c r="C31" s="6" t="s">
        <v>76</v>
      </c>
      <c r="D31" s="6">
        <v>45</v>
      </c>
      <c r="E31" s="6">
        <v>2.78</v>
      </c>
      <c r="F31" s="6">
        <v>19</v>
      </c>
      <c r="G31" s="6">
        <v>2.99</v>
      </c>
      <c r="H31" s="6">
        <v>19</v>
      </c>
      <c r="I31" s="6">
        <f t="shared" si="0"/>
        <v>0</v>
      </c>
      <c r="J31" s="6"/>
    </row>
    <row r="32" spans="1:10" x14ac:dyDescent="0.25">
      <c r="A32" s="6">
        <v>27</v>
      </c>
      <c r="B32" s="6">
        <v>14152356</v>
      </c>
      <c r="C32" s="6" t="s">
        <v>77</v>
      </c>
      <c r="D32" s="6">
        <v>47</v>
      </c>
      <c r="E32" s="6">
        <v>3.67</v>
      </c>
      <c r="F32" s="6">
        <v>19</v>
      </c>
      <c r="G32" s="6">
        <v>3.21</v>
      </c>
      <c r="H32" s="6">
        <v>19</v>
      </c>
      <c r="I32" s="6">
        <f t="shared" si="0"/>
        <v>0</v>
      </c>
      <c r="J32" s="6"/>
    </row>
    <row r="33" spans="1:10" x14ac:dyDescent="0.25">
      <c r="A33" s="6">
        <v>28</v>
      </c>
      <c r="B33" s="6">
        <v>14152798</v>
      </c>
      <c r="C33" s="6" t="s">
        <v>78</v>
      </c>
      <c r="D33" s="6">
        <v>67</v>
      </c>
      <c r="E33" s="6">
        <v>2.78</v>
      </c>
      <c r="F33" s="6">
        <v>17</v>
      </c>
      <c r="G33" s="6">
        <v>3.12</v>
      </c>
      <c r="H33" s="6">
        <v>16</v>
      </c>
      <c r="I33" s="6">
        <f t="shared" si="0"/>
        <v>1</v>
      </c>
      <c r="J33" s="6"/>
    </row>
    <row r="34" spans="1:10" x14ac:dyDescent="0.25">
      <c r="A34" s="6">
        <v>29</v>
      </c>
      <c r="B34" s="6">
        <v>14142772</v>
      </c>
      <c r="C34" s="6" t="s">
        <v>79</v>
      </c>
      <c r="D34" s="6">
        <v>58</v>
      </c>
      <c r="E34" s="6">
        <v>2.56</v>
      </c>
      <c r="F34" s="6">
        <v>18</v>
      </c>
      <c r="G34" s="6">
        <v>2.67</v>
      </c>
      <c r="H34" s="6">
        <v>17</v>
      </c>
      <c r="I34" s="6">
        <f t="shared" si="0"/>
        <v>1</v>
      </c>
      <c r="J34" s="6"/>
    </row>
    <row r="35" spans="1:10" x14ac:dyDescent="0.25">
      <c r="A35" s="6">
        <v>30</v>
      </c>
      <c r="B35" s="6">
        <v>14142887</v>
      </c>
      <c r="C35" s="6" t="s">
        <v>80</v>
      </c>
      <c r="D35" s="6">
        <v>54</v>
      </c>
      <c r="E35" s="6">
        <v>2.12</v>
      </c>
      <c r="F35" s="6">
        <v>22</v>
      </c>
      <c r="G35" s="6">
        <v>2.89</v>
      </c>
      <c r="H35" s="6">
        <v>20</v>
      </c>
      <c r="I35" s="6">
        <f t="shared" si="0"/>
        <v>2</v>
      </c>
      <c r="J35" s="6"/>
    </row>
    <row r="36" spans="1:10" x14ac:dyDescent="0.25">
      <c r="A36" s="6">
        <v>31</v>
      </c>
      <c r="B36" s="6">
        <v>14152439</v>
      </c>
      <c r="C36" s="6" t="s">
        <v>81</v>
      </c>
      <c r="D36" s="6">
        <v>48</v>
      </c>
      <c r="E36" s="6">
        <v>2.54</v>
      </c>
      <c r="F36" s="6">
        <v>24</v>
      </c>
      <c r="G36" s="6">
        <v>2.14</v>
      </c>
      <c r="H36" s="6">
        <v>20</v>
      </c>
      <c r="I36" s="6">
        <f t="shared" si="0"/>
        <v>4</v>
      </c>
      <c r="J36" s="6"/>
    </row>
    <row r="37" spans="1:10" x14ac:dyDescent="0.25">
      <c r="A37" s="6">
        <v>32</v>
      </c>
      <c r="B37" s="6">
        <v>14157777</v>
      </c>
      <c r="C37" s="6" t="s">
        <v>82</v>
      </c>
      <c r="D37" s="6">
        <v>55</v>
      </c>
      <c r="E37" s="6">
        <v>2.89</v>
      </c>
      <c r="F37" s="6">
        <v>22</v>
      </c>
      <c r="G37" s="6">
        <v>2.17</v>
      </c>
      <c r="H37" s="6">
        <v>18</v>
      </c>
      <c r="I37" s="6">
        <f t="shared" si="0"/>
        <v>4</v>
      </c>
      <c r="J37" s="6"/>
    </row>
    <row r="38" spans="1:10" x14ac:dyDescent="0.25">
      <c r="A38" s="6">
        <v>33</v>
      </c>
      <c r="B38" s="6">
        <v>15150239</v>
      </c>
      <c r="C38" s="6" t="s">
        <v>83</v>
      </c>
      <c r="D38" s="6">
        <v>57</v>
      </c>
      <c r="E38" s="6">
        <v>3.78</v>
      </c>
      <c r="F38" s="6">
        <v>20</v>
      </c>
      <c r="G38" s="6">
        <v>2.58</v>
      </c>
      <c r="H38" s="6">
        <v>18</v>
      </c>
      <c r="I38" s="6">
        <f t="shared" si="0"/>
        <v>2</v>
      </c>
      <c r="J38" s="6"/>
    </row>
    <row r="39" spans="1:10" x14ac:dyDescent="0.25">
      <c r="A39" s="6">
        <v>34</v>
      </c>
      <c r="B39" s="6">
        <v>15152289</v>
      </c>
      <c r="C39" s="6" t="s">
        <v>84</v>
      </c>
      <c r="D39" s="6">
        <v>58</v>
      </c>
      <c r="E39" s="6">
        <v>3.43</v>
      </c>
      <c r="F39" s="6">
        <v>23</v>
      </c>
      <c r="G39" s="6">
        <v>2.74</v>
      </c>
      <c r="H39" s="6">
        <v>20</v>
      </c>
      <c r="I39" s="6">
        <f t="shared" si="0"/>
        <v>3</v>
      </c>
      <c r="J39" s="6"/>
    </row>
    <row r="40" spans="1:10" x14ac:dyDescent="0.25">
      <c r="A40" s="6">
        <v>35</v>
      </c>
      <c r="B40" s="6">
        <v>14151576</v>
      </c>
      <c r="C40" s="6" t="s">
        <v>85</v>
      </c>
      <c r="D40" s="6">
        <v>59</v>
      </c>
      <c r="E40" s="6">
        <v>2.98</v>
      </c>
      <c r="F40" s="6">
        <v>19</v>
      </c>
      <c r="G40" s="6">
        <v>2.88</v>
      </c>
      <c r="H40" s="6">
        <v>19</v>
      </c>
      <c r="I40" s="6">
        <f t="shared" si="0"/>
        <v>0</v>
      </c>
      <c r="J40" s="6"/>
    </row>
    <row r="41" spans="1:10" x14ac:dyDescent="0.25">
      <c r="A41" s="6">
        <v>36</v>
      </c>
      <c r="B41" s="6">
        <v>15152332</v>
      </c>
      <c r="C41" s="6" t="s">
        <v>86</v>
      </c>
      <c r="D41" s="6">
        <v>65</v>
      </c>
      <c r="E41" s="6">
        <v>2.35</v>
      </c>
      <c r="F41" s="6">
        <v>18</v>
      </c>
      <c r="G41" s="6">
        <v>3.14</v>
      </c>
      <c r="H41" s="6">
        <v>18</v>
      </c>
      <c r="I41" s="6">
        <f t="shared" si="0"/>
        <v>0</v>
      </c>
      <c r="J41" s="6"/>
    </row>
    <row r="42" spans="1:10" x14ac:dyDescent="0.25">
      <c r="A42" s="6">
        <v>37</v>
      </c>
      <c r="B42" s="6">
        <v>15152121</v>
      </c>
      <c r="C42" s="6" t="s">
        <v>87</v>
      </c>
      <c r="D42" s="6">
        <v>47</v>
      </c>
      <c r="E42" s="6">
        <v>2.4500000000000002</v>
      </c>
      <c r="F42" s="6">
        <v>17</v>
      </c>
      <c r="G42" s="6">
        <v>3.52</v>
      </c>
      <c r="H42" s="6">
        <v>15</v>
      </c>
      <c r="I42" s="6">
        <f t="shared" si="0"/>
        <v>2</v>
      </c>
      <c r="J42" s="6"/>
    </row>
    <row r="43" spans="1:10" x14ac:dyDescent="0.25">
      <c r="A43" s="6">
        <v>38</v>
      </c>
      <c r="B43" s="6">
        <v>15162222</v>
      </c>
      <c r="C43" s="6" t="s">
        <v>88</v>
      </c>
      <c r="D43" s="6">
        <v>48</v>
      </c>
      <c r="E43" s="6">
        <v>2.17</v>
      </c>
      <c r="F43" s="6">
        <v>14</v>
      </c>
      <c r="G43" s="6">
        <v>3.33</v>
      </c>
      <c r="H43" s="6">
        <v>14</v>
      </c>
      <c r="I43" s="6">
        <f t="shared" si="0"/>
        <v>0</v>
      </c>
      <c r="J43" s="6"/>
    </row>
    <row r="44" spans="1:10" x14ac:dyDescent="0.25">
      <c r="A44" s="6">
        <v>39</v>
      </c>
      <c r="B44" s="6">
        <v>15156767</v>
      </c>
      <c r="C44" s="6" t="s">
        <v>89</v>
      </c>
      <c r="D44" s="6">
        <v>58</v>
      </c>
      <c r="E44" s="6">
        <v>2.56</v>
      </c>
      <c r="F44" s="6">
        <v>14</v>
      </c>
      <c r="G44" s="6">
        <v>3.14</v>
      </c>
      <c r="H44" s="6">
        <v>14</v>
      </c>
      <c r="I44" s="6">
        <f t="shared" si="0"/>
        <v>0</v>
      </c>
      <c r="J44" s="6"/>
    </row>
    <row r="45" spans="1:10" x14ac:dyDescent="0.25">
      <c r="A45" s="6">
        <v>40</v>
      </c>
      <c r="B45" s="6">
        <v>14152122</v>
      </c>
      <c r="C45" s="6" t="s">
        <v>90</v>
      </c>
      <c r="D45" s="6">
        <v>57</v>
      </c>
      <c r="E45" s="6">
        <v>2.5499999999999998</v>
      </c>
      <c r="F45" s="6">
        <v>15</v>
      </c>
      <c r="G45" s="6">
        <v>2.48</v>
      </c>
      <c r="H45" s="6">
        <v>15</v>
      </c>
      <c r="I45" s="6">
        <f t="shared" si="0"/>
        <v>0</v>
      </c>
      <c r="J45" s="6"/>
    </row>
    <row r="46" spans="1:10" x14ac:dyDescent="0.25">
      <c r="A46" s="6">
        <v>41</v>
      </c>
      <c r="B46" s="6">
        <v>14152167</v>
      </c>
      <c r="C46" s="6" t="s">
        <v>91</v>
      </c>
      <c r="D46" s="6">
        <v>56</v>
      </c>
      <c r="E46" s="6">
        <v>2.12</v>
      </c>
      <c r="F46" s="6">
        <v>17</v>
      </c>
      <c r="G46" s="6">
        <v>2.74</v>
      </c>
      <c r="H46" s="6">
        <v>15</v>
      </c>
      <c r="I46" s="6">
        <f t="shared" si="0"/>
        <v>2</v>
      </c>
      <c r="J46" s="6"/>
    </row>
    <row r="47" spans="1:10" x14ac:dyDescent="0.25">
      <c r="A47" s="6">
        <v>42</v>
      </c>
      <c r="B47" s="6">
        <v>14150990</v>
      </c>
      <c r="C47" s="6" t="s">
        <v>92</v>
      </c>
      <c r="D47" s="6">
        <v>49</v>
      </c>
      <c r="E47" s="6">
        <v>3.24</v>
      </c>
      <c r="F47" s="6">
        <v>18</v>
      </c>
      <c r="G47" s="6">
        <v>2.13</v>
      </c>
      <c r="H47" s="6">
        <v>17</v>
      </c>
      <c r="I47" s="6">
        <f t="shared" si="0"/>
        <v>1</v>
      </c>
      <c r="J47" s="6"/>
    </row>
    <row r="48" spans="1:10" x14ac:dyDescent="0.25">
      <c r="A48" s="6">
        <v>43</v>
      </c>
      <c r="B48" s="6">
        <v>14152776</v>
      </c>
      <c r="C48" s="6" t="s">
        <v>93</v>
      </c>
      <c r="D48" s="6">
        <v>57</v>
      </c>
      <c r="E48" s="6">
        <v>2.78</v>
      </c>
      <c r="F48" s="6">
        <v>19</v>
      </c>
      <c r="G48" s="6">
        <v>2.25</v>
      </c>
      <c r="H48" s="6">
        <v>15</v>
      </c>
      <c r="I48" s="6">
        <f t="shared" si="0"/>
        <v>4</v>
      </c>
      <c r="J48" s="6"/>
    </row>
    <row r="49" spans="1:10" x14ac:dyDescent="0.25">
      <c r="A49" s="6">
        <v>44</v>
      </c>
      <c r="B49" s="6">
        <v>15152885</v>
      </c>
      <c r="C49" s="6" t="s">
        <v>94</v>
      </c>
      <c r="D49" s="6">
        <v>51</v>
      </c>
      <c r="E49" s="6">
        <v>2.75</v>
      </c>
      <c r="F49" s="6">
        <v>20</v>
      </c>
      <c r="G49" s="6">
        <v>2.84</v>
      </c>
      <c r="H49" s="6">
        <v>19</v>
      </c>
      <c r="I49" s="6">
        <f t="shared" si="0"/>
        <v>1</v>
      </c>
      <c r="J49" s="6"/>
    </row>
    <row r="50" spans="1:10" x14ac:dyDescent="0.25">
      <c r="A50" s="6">
        <v>45</v>
      </c>
      <c r="B50" s="6">
        <v>15152871</v>
      </c>
      <c r="C50" s="6" t="s">
        <v>95</v>
      </c>
      <c r="D50" s="6">
        <v>53</v>
      </c>
      <c r="E50" s="6">
        <v>3.56</v>
      </c>
      <c r="F50" s="6">
        <v>21</v>
      </c>
      <c r="G50" s="6">
        <v>2.4700000000000002</v>
      </c>
      <c r="H50" s="6">
        <v>20</v>
      </c>
      <c r="I50" s="6">
        <f t="shared" si="0"/>
        <v>1</v>
      </c>
      <c r="J50" s="6"/>
    </row>
    <row r="51" spans="1:10" x14ac:dyDescent="0.25">
      <c r="A51" s="6">
        <v>46</v>
      </c>
      <c r="B51" s="6">
        <v>15150723</v>
      </c>
      <c r="C51" s="6" t="s">
        <v>96</v>
      </c>
      <c r="D51" s="6">
        <v>60</v>
      </c>
      <c r="E51" s="6">
        <v>1.67</v>
      </c>
      <c r="F51" s="6">
        <v>19</v>
      </c>
      <c r="G51" s="6">
        <v>2.39</v>
      </c>
      <c r="H51" s="6">
        <v>18</v>
      </c>
      <c r="I51" s="6">
        <f t="shared" si="0"/>
        <v>1</v>
      </c>
      <c r="J51" s="6"/>
    </row>
    <row r="52" spans="1:10" x14ac:dyDescent="0.25">
      <c r="A52" s="6">
        <v>47</v>
      </c>
      <c r="B52" s="6">
        <v>14152883</v>
      </c>
      <c r="C52" s="6" t="s">
        <v>97</v>
      </c>
      <c r="D52" s="6">
        <v>47</v>
      </c>
      <c r="E52" s="6">
        <v>1.54</v>
      </c>
      <c r="F52" s="6">
        <v>20</v>
      </c>
      <c r="G52" s="6">
        <v>2.4700000000000002</v>
      </c>
      <c r="H52" s="6">
        <v>18</v>
      </c>
      <c r="I52" s="6">
        <f t="shared" si="0"/>
        <v>2</v>
      </c>
      <c r="J52" s="6"/>
    </row>
    <row r="53" spans="1:10" x14ac:dyDescent="0.25">
      <c r="A53" s="6">
        <v>48</v>
      </c>
      <c r="B53" s="6">
        <v>14152188</v>
      </c>
      <c r="C53" s="6" t="s">
        <v>98</v>
      </c>
      <c r="D53" s="6">
        <v>49</v>
      </c>
      <c r="E53" s="6">
        <v>1.59</v>
      </c>
      <c r="F53" s="6">
        <v>21</v>
      </c>
      <c r="G53" s="6">
        <v>2.41</v>
      </c>
      <c r="H53" s="6">
        <v>20</v>
      </c>
      <c r="I53" s="6">
        <f t="shared" si="0"/>
        <v>1</v>
      </c>
      <c r="J53" s="6"/>
    </row>
    <row r="54" spans="1:10" x14ac:dyDescent="0.25">
      <c r="A54" s="6">
        <v>49</v>
      </c>
      <c r="B54" s="6">
        <v>15150208</v>
      </c>
      <c r="C54" s="6" t="s">
        <v>99</v>
      </c>
      <c r="D54" s="6">
        <v>54</v>
      </c>
      <c r="E54" s="6">
        <v>2.4300000000000002</v>
      </c>
      <c r="F54" s="6">
        <v>18</v>
      </c>
      <c r="G54" s="6">
        <v>2.83</v>
      </c>
      <c r="H54" s="6">
        <v>17</v>
      </c>
      <c r="I54" s="6">
        <f t="shared" si="0"/>
        <v>1</v>
      </c>
      <c r="J54" s="6"/>
    </row>
    <row r="55" spans="1:10" x14ac:dyDescent="0.25">
      <c r="A55" s="6">
        <v>50</v>
      </c>
      <c r="B55" s="6">
        <v>15150346</v>
      </c>
      <c r="C55" s="6" t="s">
        <v>100</v>
      </c>
      <c r="D55" s="6">
        <v>56</v>
      </c>
      <c r="E55" s="6">
        <v>3.19</v>
      </c>
      <c r="F55" s="6">
        <v>13</v>
      </c>
      <c r="G55" s="6">
        <v>2.67</v>
      </c>
      <c r="H55" s="6">
        <v>0</v>
      </c>
      <c r="I55" s="6">
        <f t="shared" si="0"/>
        <v>13</v>
      </c>
      <c r="J55" s="6" t="s">
        <v>101</v>
      </c>
    </row>
    <row r="56" spans="1:10" x14ac:dyDescent="0.25">
      <c r="A56" s="42" t="s">
        <v>102</v>
      </c>
      <c r="B56" s="43"/>
      <c r="C56" s="44"/>
      <c r="D56" s="6">
        <f>SUM(D8:D55)</f>
        <v>2574</v>
      </c>
      <c r="E56" s="8">
        <f>AVERAGE(E8:E55)</f>
        <v>2.6866666666666679</v>
      </c>
      <c r="F56" s="6">
        <f>SUM(F8:F55)</f>
        <v>902</v>
      </c>
      <c r="G56" s="8">
        <f>AVERAGE(G8:G55)</f>
        <v>2.7214583333333326</v>
      </c>
      <c r="H56" s="6">
        <f>SUM(H8:H55)</f>
        <v>832</v>
      </c>
      <c r="I56" s="6">
        <f>SUM(I6:I55)</f>
        <v>71</v>
      </c>
      <c r="J56" s="7"/>
    </row>
    <row r="59" spans="1:10" x14ac:dyDescent="0.25">
      <c r="B59" s="9"/>
      <c r="C59" s="5" t="s">
        <v>103</v>
      </c>
      <c r="D59" s="5" t="s">
        <v>104</v>
      </c>
    </row>
    <row r="60" spans="1:10" x14ac:dyDescent="0.25">
      <c r="B60" s="9" t="s">
        <v>105</v>
      </c>
      <c r="C60" s="10">
        <f>I56</f>
        <v>71</v>
      </c>
      <c r="D60" s="11">
        <f>I56/F56</f>
        <v>7.8713968957871402E-2</v>
      </c>
    </row>
    <row r="61" spans="1:10" x14ac:dyDescent="0.25">
      <c r="B61" s="9" t="s">
        <v>106</v>
      </c>
      <c r="C61" s="12"/>
      <c r="D61" s="11"/>
    </row>
    <row r="62" spans="1:10" x14ac:dyDescent="0.25">
      <c r="B62" s="7" t="s">
        <v>107</v>
      </c>
      <c r="C62" s="7">
        <f>COUNTIFS(E6:E55,"&gt;=3.6")</f>
        <v>3</v>
      </c>
      <c r="D62" s="11">
        <f>C62/COUNT(E6:E55)</f>
        <v>0.06</v>
      </c>
    </row>
    <row r="63" spans="1:10" x14ac:dyDescent="0.25">
      <c r="B63" s="13" t="s">
        <v>108</v>
      </c>
      <c r="C63" s="7">
        <f>COUNTIFS(E6:E55,"&gt;=3.2",E6:E55,"&lt;= 3.59")</f>
        <v>6</v>
      </c>
      <c r="D63" s="11">
        <f>C63/COUNT(E6:E55)</f>
        <v>0.12</v>
      </c>
    </row>
    <row r="64" spans="1:10" x14ac:dyDescent="0.25">
      <c r="B64" s="13" t="s">
        <v>109</v>
      </c>
      <c r="C64" s="7">
        <f>COUNTIFS(E6:E55,"&gt;=2.5",E6:E55,"&lt;=3.19")</f>
        <v>25</v>
      </c>
      <c r="D64" s="11">
        <f>C64/COUNT(E6:E55)</f>
        <v>0.5</v>
      </c>
    </row>
    <row r="65" spans="2:4" x14ac:dyDescent="0.25">
      <c r="B65" s="13" t="s">
        <v>110</v>
      </c>
      <c r="C65" s="7">
        <f>COUNTIFS(E6:E55,"&gt;=2.3",E6:E55,"&lt;=2.49")</f>
        <v>6</v>
      </c>
      <c r="D65" s="11">
        <f>C65/COUNT(E6:E55)</f>
        <v>0.12</v>
      </c>
    </row>
    <row r="66" spans="2:4" x14ac:dyDescent="0.25">
      <c r="B66" s="13" t="s">
        <v>111</v>
      </c>
      <c r="C66" s="7">
        <f>COUNTIFS(E6:E55,"&gt;=2.0",E6:E55,"&lt;=2.29")</f>
        <v>4</v>
      </c>
      <c r="D66" s="11">
        <f>C66/COUNT(E6:E55)</f>
        <v>0.08</v>
      </c>
    </row>
    <row r="67" spans="2:4" x14ac:dyDescent="0.25">
      <c r="B67" s="13" t="s">
        <v>112</v>
      </c>
      <c r="C67" s="7">
        <f>COUNTIFS(E6:E55,"&gt;=1.5",E6:E55,"&lt;=1.99")</f>
        <v>5</v>
      </c>
      <c r="D67" s="11">
        <f>C67/COUNT(E6:E55)</f>
        <v>0.1</v>
      </c>
    </row>
    <row r="68" spans="2:4" x14ac:dyDescent="0.25">
      <c r="B68" s="13" t="s">
        <v>113</v>
      </c>
      <c r="C68" s="7">
        <f>COUNTIFS(E6:E55,"&gt;=1.0",E6:E55,"&lt;= 1.49")</f>
        <v>1</v>
      </c>
      <c r="D68" s="11">
        <f>C68/COUNT(E6:E55)</f>
        <v>0.02</v>
      </c>
    </row>
    <row r="69" spans="2:4" x14ac:dyDescent="0.25">
      <c r="B69" s="13" t="s">
        <v>114</v>
      </c>
      <c r="C69" s="7">
        <f>COUNTIFS(E6:E55,"&gt;=0",E6:E55,"&lt; 1.0")</f>
        <v>0</v>
      </c>
      <c r="D69" s="11">
        <f>C69/COUNT(E6:E55)</f>
        <v>0</v>
      </c>
    </row>
  </sheetData>
  <mergeCells count="2">
    <mergeCell ref="C2:J2"/>
    <mergeCell ref="A56:C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topLeftCell="C1" workbookViewId="0">
      <selection sqref="A1:G23"/>
    </sheetView>
  </sheetViews>
  <sheetFormatPr defaultRowHeight="15" x14ac:dyDescent="0.25"/>
  <cols>
    <col min="1" max="1" width="9.140625" style="15"/>
    <col min="2" max="2" width="26.85546875" customWidth="1"/>
    <col min="3" max="3" width="14.28515625" customWidth="1"/>
    <col min="4" max="4" width="15" customWidth="1"/>
  </cols>
  <sheetData>
    <row r="1" spans="1:7" s="19" customFormat="1" ht="23.25" customHeight="1" x14ac:dyDescent="0.3">
      <c r="A1" s="45" t="s">
        <v>144</v>
      </c>
      <c r="B1" s="45"/>
      <c r="C1" s="45"/>
      <c r="D1" s="45"/>
      <c r="E1" s="45"/>
      <c r="F1" s="45"/>
      <c r="G1" s="45"/>
    </row>
    <row r="2" spans="1:7" s="15" customFormat="1" ht="18.75" x14ac:dyDescent="0.3">
      <c r="A2" s="16" t="s">
        <v>42</v>
      </c>
      <c r="B2" s="17" t="s">
        <v>115</v>
      </c>
      <c r="C2" s="6" t="s">
        <v>116</v>
      </c>
      <c r="D2" s="6" t="s">
        <v>117</v>
      </c>
      <c r="E2" s="6" t="s">
        <v>118</v>
      </c>
      <c r="F2" s="6" t="s">
        <v>119</v>
      </c>
      <c r="G2" s="6" t="s">
        <v>120</v>
      </c>
    </row>
    <row r="3" spans="1:7" ht="18.75" x14ac:dyDescent="0.3">
      <c r="A3" s="16">
        <v>1</v>
      </c>
      <c r="B3" s="7" t="s">
        <v>57</v>
      </c>
      <c r="C3" s="7">
        <v>15150329</v>
      </c>
      <c r="D3" s="7"/>
      <c r="E3" s="7">
        <v>2.68</v>
      </c>
      <c r="F3" s="7">
        <v>19</v>
      </c>
      <c r="G3" s="7">
        <v>3</v>
      </c>
    </row>
    <row r="4" spans="1:7" ht="18.75" x14ac:dyDescent="0.3">
      <c r="A4" s="16">
        <v>2</v>
      </c>
      <c r="B4" s="7" t="s">
        <v>121</v>
      </c>
      <c r="C4" s="7">
        <v>15150348</v>
      </c>
      <c r="D4" s="7" t="s">
        <v>122</v>
      </c>
      <c r="E4" s="7">
        <v>3.6</v>
      </c>
      <c r="F4" s="7">
        <v>18</v>
      </c>
      <c r="G4" s="7">
        <v>0</v>
      </c>
    </row>
    <row r="5" spans="1:7" ht="18.75" x14ac:dyDescent="0.3">
      <c r="A5" s="16">
        <v>3</v>
      </c>
      <c r="B5" s="7" t="s">
        <v>83</v>
      </c>
      <c r="C5" s="7">
        <v>15150951</v>
      </c>
      <c r="D5" s="7" t="s">
        <v>123</v>
      </c>
      <c r="E5" s="7">
        <v>2.9</v>
      </c>
      <c r="F5" s="7">
        <v>19</v>
      </c>
      <c r="G5" s="7">
        <v>1</v>
      </c>
    </row>
    <row r="6" spans="1:7" ht="18.75" x14ac:dyDescent="0.3">
      <c r="A6" s="16">
        <v>4</v>
      </c>
      <c r="B6" s="7" t="s">
        <v>70</v>
      </c>
      <c r="C6" s="7">
        <v>15150159</v>
      </c>
      <c r="D6" s="7" t="s">
        <v>124</v>
      </c>
      <c r="E6" s="7">
        <v>2.8</v>
      </c>
      <c r="F6" s="7">
        <v>18</v>
      </c>
      <c r="G6" s="7">
        <v>2</v>
      </c>
    </row>
    <row r="7" spans="1:7" ht="18.75" x14ac:dyDescent="0.3">
      <c r="A7" s="16">
        <v>5</v>
      </c>
      <c r="B7" s="7" t="s">
        <v>125</v>
      </c>
      <c r="C7" s="7">
        <v>15150357</v>
      </c>
      <c r="D7" s="18">
        <v>35774</v>
      </c>
      <c r="E7" s="7">
        <v>2.7</v>
      </c>
      <c r="F7" s="7">
        <v>17</v>
      </c>
      <c r="G7" s="7">
        <v>0</v>
      </c>
    </row>
    <row r="8" spans="1:7" ht="18.75" x14ac:dyDescent="0.3">
      <c r="A8" s="16">
        <v>6</v>
      </c>
      <c r="B8" s="7" t="s">
        <v>126</v>
      </c>
      <c r="C8" s="7">
        <v>15150753</v>
      </c>
      <c r="D8" s="18">
        <v>35744</v>
      </c>
      <c r="E8" s="7">
        <v>2.6</v>
      </c>
      <c r="F8" s="7">
        <v>12</v>
      </c>
      <c r="G8" s="7">
        <v>2</v>
      </c>
    </row>
    <row r="9" spans="1:7" ht="18.75" x14ac:dyDescent="0.3">
      <c r="A9" s="16">
        <v>7</v>
      </c>
      <c r="B9" s="7" t="s">
        <v>127</v>
      </c>
      <c r="C9" s="7">
        <v>15150963</v>
      </c>
      <c r="D9" s="18">
        <v>35713</v>
      </c>
      <c r="E9" s="7">
        <v>2.5</v>
      </c>
      <c r="F9" s="7">
        <v>14</v>
      </c>
      <c r="G9" s="7">
        <v>1</v>
      </c>
    </row>
    <row r="10" spans="1:7" ht="18.75" x14ac:dyDescent="0.3">
      <c r="A10" s="16">
        <v>8</v>
      </c>
      <c r="B10" s="7" t="s">
        <v>128</v>
      </c>
      <c r="C10" s="7">
        <v>15150852</v>
      </c>
      <c r="D10" s="18">
        <v>35683</v>
      </c>
      <c r="E10" s="7">
        <v>2.4</v>
      </c>
      <c r="F10" s="7">
        <v>15</v>
      </c>
      <c r="G10" s="7">
        <v>0</v>
      </c>
    </row>
    <row r="11" spans="1:7" ht="18.75" x14ac:dyDescent="0.3">
      <c r="A11" s="16">
        <v>9</v>
      </c>
      <c r="B11" s="7" t="s">
        <v>129</v>
      </c>
      <c r="C11" s="7">
        <v>15150741</v>
      </c>
      <c r="D11" s="18">
        <v>35652</v>
      </c>
      <c r="E11" s="7">
        <v>2.6</v>
      </c>
      <c r="F11" s="7">
        <v>22</v>
      </c>
      <c r="G11" s="7">
        <v>0</v>
      </c>
    </row>
    <row r="12" spans="1:7" ht="18.75" x14ac:dyDescent="0.3">
      <c r="A12" s="16">
        <v>10</v>
      </c>
      <c r="B12" s="7" t="s">
        <v>100</v>
      </c>
      <c r="C12" s="7">
        <v>15150369</v>
      </c>
      <c r="D12" s="18">
        <v>35621</v>
      </c>
      <c r="E12" s="7">
        <v>2.2999999999999998</v>
      </c>
      <c r="F12" s="7">
        <v>21</v>
      </c>
      <c r="G12" s="7">
        <v>0</v>
      </c>
    </row>
    <row r="13" spans="1:7" ht="18.75" x14ac:dyDescent="0.3">
      <c r="A13" s="16">
        <v>11</v>
      </c>
      <c r="B13" s="7" t="s">
        <v>130</v>
      </c>
      <c r="C13" s="7">
        <v>15150258</v>
      </c>
      <c r="D13" s="18">
        <v>35591</v>
      </c>
      <c r="E13" s="7">
        <v>2.8</v>
      </c>
      <c r="F13" s="7">
        <v>21</v>
      </c>
      <c r="G13" s="7">
        <v>0</v>
      </c>
    </row>
    <row r="14" spans="1:7" ht="18.75" x14ac:dyDescent="0.3">
      <c r="A14" s="16">
        <v>12</v>
      </c>
      <c r="B14" s="7" t="s">
        <v>131</v>
      </c>
      <c r="C14" s="7">
        <v>15150147</v>
      </c>
      <c r="D14" s="18">
        <v>35560</v>
      </c>
      <c r="E14" s="7">
        <v>2.7</v>
      </c>
      <c r="F14" s="7">
        <v>20</v>
      </c>
      <c r="G14" s="7">
        <v>0</v>
      </c>
    </row>
    <row r="15" spans="1:7" ht="18.75" x14ac:dyDescent="0.3">
      <c r="A15" s="16">
        <v>13</v>
      </c>
      <c r="B15" s="7" t="s">
        <v>132</v>
      </c>
      <c r="C15" s="7">
        <v>15150945</v>
      </c>
      <c r="D15" s="18">
        <v>35530</v>
      </c>
      <c r="E15" s="7">
        <v>3</v>
      </c>
      <c r="F15" s="7">
        <v>20</v>
      </c>
      <c r="G15" s="7">
        <v>0</v>
      </c>
    </row>
    <row r="16" spans="1:7" ht="18.75" x14ac:dyDescent="0.3">
      <c r="A16" s="16">
        <v>14</v>
      </c>
      <c r="B16" s="7" t="s">
        <v>133</v>
      </c>
      <c r="C16" s="7">
        <v>15150894</v>
      </c>
      <c r="D16" s="18">
        <v>35499</v>
      </c>
      <c r="E16" s="7">
        <v>3.4</v>
      </c>
      <c r="F16" s="7">
        <v>18</v>
      </c>
      <c r="G16" s="7">
        <v>0</v>
      </c>
    </row>
    <row r="17" spans="1:7" ht="18.75" x14ac:dyDescent="0.3">
      <c r="A17" s="16">
        <v>15</v>
      </c>
      <c r="B17" s="7" t="s">
        <v>134</v>
      </c>
      <c r="C17" s="7">
        <v>15150078</v>
      </c>
      <c r="D17" s="18">
        <v>35471</v>
      </c>
      <c r="E17" s="7">
        <v>4</v>
      </c>
      <c r="F17" s="7">
        <v>18</v>
      </c>
      <c r="G17" s="7">
        <v>0</v>
      </c>
    </row>
    <row r="18" spans="1:7" ht="18.75" x14ac:dyDescent="0.3">
      <c r="A18" s="16">
        <v>16</v>
      </c>
      <c r="B18" s="7" t="s">
        <v>135</v>
      </c>
      <c r="C18" s="7">
        <v>15150307</v>
      </c>
      <c r="D18" s="18">
        <v>35440</v>
      </c>
      <c r="E18" s="7">
        <v>2.1</v>
      </c>
      <c r="F18" s="7">
        <v>18</v>
      </c>
      <c r="G18" s="7">
        <v>0</v>
      </c>
    </row>
    <row r="19" spans="1:7" ht="18.75" x14ac:dyDescent="0.3">
      <c r="A19" s="16">
        <v>17</v>
      </c>
      <c r="B19" s="7" t="s">
        <v>136</v>
      </c>
      <c r="C19" s="7">
        <v>15150230</v>
      </c>
      <c r="D19" s="7" t="s">
        <v>137</v>
      </c>
      <c r="E19" s="7">
        <v>4</v>
      </c>
      <c r="F19" s="7">
        <v>16</v>
      </c>
      <c r="G19" s="7">
        <v>0</v>
      </c>
    </row>
    <row r="20" spans="1:7" ht="18.75" x14ac:dyDescent="0.3">
      <c r="A20" s="16">
        <v>18</v>
      </c>
      <c r="B20" s="7" t="s">
        <v>69</v>
      </c>
      <c r="C20" s="7">
        <v>15150123</v>
      </c>
      <c r="D20" s="7" t="s">
        <v>138</v>
      </c>
      <c r="E20" s="7">
        <v>3.5</v>
      </c>
      <c r="F20" s="7">
        <v>15</v>
      </c>
      <c r="G20" s="7">
        <v>0</v>
      </c>
    </row>
    <row r="21" spans="1:7" ht="18.75" x14ac:dyDescent="0.3">
      <c r="A21" s="16">
        <v>19</v>
      </c>
      <c r="B21" s="7" t="s">
        <v>139</v>
      </c>
      <c r="C21" s="7">
        <v>15150612</v>
      </c>
      <c r="D21" s="7" t="s">
        <v>140</v>
      </c>
      <c r="E21" s="7">
        <v>3.2</v>
      </c>
      <c r="F21" s="7">
        <v>17</v>
      </c>
      <c r="G21" s="7">
        <v>3</v>
      </c>
    </row>
    <row r="22" spans="1:7" ht="18.75" x14ac:dyDescent="0.3">
      <c r="A22" s="16">
        <v>20</v>
      </c>
      <c r="B22" s="7" t="s">
        <v>141</v>
      </c>
      <c r="C22" s="7">
        <v>15150561</v>
      </c>
      <c r="D22" s="7" t="s">
        <v>142</v>
      </c>
      <c r="E22" s="7">
        <v>3.3</v>
      </c>
      <c r="F22" s="7">
        <v>19</v>
      </c>
      <c r="G22" s="7">
        <v>6</v>
      </c>
    </row>
    <row r="23" spans="1:7" ht="18.75" x14ac:dyDescent="0.3">
      <c r="A23" s="16">
        <v>21</v>
      </c>
      <c r="B23" s="7" t="s">
        <v>72</v>
      </c>
      <c r="C23" s="7">
        <v>15150456</v>
      </c>
      <c r="D23" s="7" t="s">
        <v>143</v>
      </c>
      <c r="E23" s="7">
        <v>3.4</v>
      </c>
      <c r="F23" s="7">
        <v>18</v>
      </c>
      <c r="G23" s="7">
        <v>4</v>
      </c>
    </row>
    <row r="24" spans="1:7" ht="18.75" x14ac:dyDescent="0.3">
      <c r="A24" s="14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8"/>
  <sheetViews>
    <sheetView topLeftCell="C1" workbookViewId="0">
      <selection activeCell="A2" sqref="A2:J58"/>
    </sheetView>
  </sheetViews>
  <sheetFormatPr defaultRowHeight="15" x14ac:dyDescent="0.25"/>
  <cols>
    <col min="1" max="1" width="7.28515625" customWidth="1"/>
    <col min="2" max="2" width="25.140625" customWidth="1"/>
    <col min="3" max="3" width="13.140625" customWidth="1"/>
    <col min="4" max="4" width="16.140625" customWidth="1"/>
    <col min="5" max="5" width="8.7109375" customWidth="1"/>
    <col min="10" max="10" width="11.5703125" bestFit="1" customWidth="1"/>
  </cols>
  <sheetData>
    <row r="1" spans="1:10" x14ac:dyDescent="0.25">
      <c r="A1" s="20"/>
    </row>
    <row r="2" spans="1:10" ht="15.75" thickBot="1" x14ac:dyDescent="0.3">
      <c r="A2" s="46" t="s">
        <v>244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ht="15.75" thickBot="1" x14ac:dyDescent="0.3">
      <c r="A3" s="47" t="s">
        <v>42</v>
      </c>
      <c r="B3" s="47" t="s">
        <v>115</v>
      </c>
      <c r="C3" s="47" t="s">
        <v>116</v>
      </c>
      <c r="D3" s="49" t="s">
        <v>117</v>
      </c>
      <c r="E3" s="51" t="s">
        <v>145</v>
      </c>
      <c r="F3" s="52"/>
      <c r="G3" s="53"/>
      <c r="H3" s="51" t="s">
        <v>146</v>
      </c>
      <c r="I3" s="52"/>
      <c r="J3" s="53"/>
    </row>
    <row r="4" spans="1:10" ht="15.75" thickBot="1" x14ac:dyDescent="0.3">
      <c r="A4" s="48"/>
      <c r="B4" s="48"/>
      <c r="C4" s="48"/>
      <c r="D4" s="50"/>
      <c r="E4" s="21" t="s">
        <v>147</v>
      </c>
      <c r="F4" s="21" t="s">
        <v>148</v>
      </c>
      <c r="G4" s="21" t="s">
        <v>149</v>
      </c>
      <c r="H4" s="21" t="s">
        <v>147</v>
      </c>
      <c r="I4" s="21" t="s">
        <v>148</v>
      </c>
      <c r="J4" s="21" t="s">
        <v>149</v>
      </c>
    </row>
    <row r="5" spans="1:10" ht="15.75" thickBot="1" x14ac:dyDescent="0.3">
      <c r="A5" s="29">
        <v>1</v>
      </c>
      <c r="B5" s="36" t="s">
        <v>121</v>
      </c>
      <c r="C5" s="36">
        <v>15150342</v>
      </c>
      <c r="D5" s="36" t="s">
        <v>150</v>
      </c>
      <c r="E5" s="21">
        <v>18</v>
      </c>
      <c r="F5" s="21">
        <v>17</v>
      </c>
      <c r="G5" s="21">
        <v>35</v>
      </c>
      <c r="H5" s="21">
        <v>3.5</v>
      </c>
      <c r="I5" s="21">
        <v>3.59</v>
      </c>
      <c r="J5" s="22">
        <f>AVERAGE(H5:I5)</f>
        <v>3.5449999999999999</v>
      </c>
    </row>
    <row r="6" spans="1:10" ht="15.75" thickBot="1" x14ac:dyDescent="0.3">
      <c r="A6" s="29">
        <v>2</v>
      </c>
      <c r="B6" s="36" t="s">
        <v>130</v>
      </c>
      <c r="C6" s="36">
        <v>14151416</v>
      </c>
      <c r="D6" s="36" t="s">
        <v>151</v>
      </c>
      <c r="E6" s="21">
        <v>13</v>
      </c>
      <c r="F6" s="21">
        <v>12</v>
      </c>
      <c r="G6" s="21">
        <v>25</v>
      </c>
      <c r="H6" s="21">
        <v>1.31</v>
      </c>
      <c r="I6" s="21">
        <v>2.5499999999999998</v>
      </c>
      <c r="J6" s="22">
        <f>AVERAGE(H6:I6)</f>
        <v>1.93</v>
      </c>
    </row>
    <row r="7" spans="1:10" ht="15.75" thickBot="1" x14ac:dyDescent="0.3">
      <c r="A7" s="29">
        <v>3</v>
      </c>
      <c r="B7" s="36" t="s">
        <v>152</v>
      </c>
      <c r="C7" s="36">
        <v>15150412</v>
      </c>
      <c r="D7" s="36" t="s">
        <v>153</v>
      </c>
      <c r="E7" s="21">
        <v>15</v>
      </c>
      <c r="F7" s="21">
        <v>17</v>
      </c>
      <c r="G7" s="21">
        <v>32</v>
      </c>
      <c r="H7" s="21">
        <v>2.97</v>
      </c>
      <c r="I7" s="21">
        <v>0.53</v>
      </c>
      <c r="J7" s="22">
        <f>AVERAGE(H7:I7)</f>
        <v>1.75</v>
      </c>
    </row>
    <row r="8" spans="1:10" ht="15.75" thickBot="1" x14ac:dyDescent="0.3">
      <c r="A8" s="29">
        <v>4</v>
      </c>
      <c r="B8" s="36" t="s">
        <v>154</v>
      </c>
      <c r="C8" s="36">
        <v>15150390</v>
      </c>
      <c r="D8" s="36" t="s">
        <v>155</v>
      </c>
      <c r="E8" s="21">
        <v>15</v>
      </c>
      <c r="F8" s="21">
        <v>19</v>
      </c>
      <c r="G8" s="21">
        <v>34</v>
      </c>
      <c r="H8" s="21">
        <v>2.97</v>
      </c>
      <c r="I8" s="21">
        <v>3.29</v>
      </c>
      <c r="J8" s="22">
        <f>AVERAGE(H8:I8)</f>
        <v>3.13</v>
      </c>
    </row>
    <row r="9" spans="1:10" ht="15.75" thickBot="1" x14ac:dyDescent="0.3">
      <c r="A9" s="29">
        <v>5</v>
      </c>
      <c r="B9" s="36" t="s">
        <v>156</v>
      </c>
      <c r="C9" s="36">
        <v>15150413</v>
      </c>
      <c r="D9" s="35">
        <v>35772</v>
      </c>
      <c r="E9" s="21">
        <v>10</v>
      </c>
      <c r="F9" s="21">
        <v>14</v>
      </c>
      <c r="G9" s="21">
        <v>24</v>
      </c>
      <c r="H9" s="21">
        <v>1.05</v>
      </c>
      <c r="I9" s="21">
        <v>0.32</v>
      </c>
      <c r="J9" s="22">
        <f>AVERAGE(H9:I9)</f>
        <v>0.68500000000000005</v>
      </c>
    </row>
    <row r="10" spans="1:10" ht="15.75" thickBot="1" x14ac:dyDescent="0.3">
      <c r="A10" s="29">
        <v>6</v>
      </c>
      <c r="B10" s="36" t="s">
        <v>157</v>
      </c>
      <c r="C10" s="36">
        <v>15150452</v>
      </c>
      <c r="D10" s="36" t="s">
        <v>158</v>
      </c>
      <c r="E10" s="21">
        <v>15</v>
      </c>
      <c r="F10" s="21">
        <v>14</v>
      </c>
      <c r="G10" s="21">
        <v>29</v>
      </c>
      <c r="H10" s="21">
        <v>0.97</v>
      </c>
      <c r="I10" s="21">
        <v>1.43</v>
      </c>
      <c r="J10" s="22">
        <f>AVERAGE(H9:I9)</f>
        <v>0.68500000000000005</v>
      </c>
    </row>
    <row r="11" spans="1:10" ht="15.75" thickBot="1" x14ac:dyDescent="0.3">
      <c r="A11" s="29">
        <v>7</v>
      </c>
      <c r="B11" s="36" t="s">
        <v>55</v>
      </c>
      <c r="C11" s="36">
        <v>15150371</v>
      </c>
      <c r="D11" s="36" t="s">
        <v>159</v>
      </c>
      <c r="E11" s="21">
        <v>13</v>
      </c>
      <c r="F11" s="21">
        <v>17</v>
      </c>
      <c r="G11" s="21">
        <v>30</v>
      </c>
      <c r="H11" s="21">
        <v>2.38</v>
      </c>
      <c r="I11" s="21">
        <v>1.76</v>
      </c>
      <c r="J11" s="22">
        <f>AVERAGE(H11:I11)</f>
        <v>2.0699999999999998</v>
      </c>
    </row>
    <row r="12" spans="1:10" ht="15.75" thickBot="1" x14ac:dyDescent="0.3">
      <c r="A12" s="29">
        <v>8</v>
      </c>
      <c r="B12" s="36" t="s">
        <v>83</v>
      </c>
      <c r="C12" s="36">
        <v>15150395</v>
      </c>
      <c r="D12" s="36" t="s">
        <v>160</v>
      </c>
      <c r="E12" s="21">
        <v>18</v>
      </c>
      <c r="F12" s="21">
        <v>17</v>
      </c>
      <c r="G12" s="21">
        <v>35</v>
      </c>
      <c r="H12" s="21">
        <v>2.06</v>
      </c>
      <c r="I12" s="21">
        <v>1.8</v>
      </c>
      <c r="J12" s="22">
        <f>AVERAGE(H12:I12)</f>
        <v>1.9300000000000002</v>
      </c>
    </row>
    <row r="13" spans="1:10" ht="15.75" thickBot="1" x14ac:dyDescent="0.3">
      <c r="A13" s="29">
        <v>9</v>
      </c>
      <c r="B13" s="36" t="s">
        <v>161</v>
      </c>
      <c r="C13" s="36">
        <v>15150415</v>
      </c>
      <c r="D13" s="36" t="s">
        <v>160</v>
      </c>
      <c r="E13" s="21">
        <v>15</v>
      </c>
      <c r="F13" s="21">
        <v>17</v>
      </c>
      <c r="G13" s="21">
        <v>32</v>
      </c>
      <c r="H13" s="21">
        <v>1.2</v>
      </c>
      <c r="I13" s="21">
        <v>1.5</v>
      </c>
      <c r="J13" s="22">
        <f>AVERAGE(H13:I13)</f>
        <v>1.35</v>
      </c>
    </row>
    <row r="14" spans="1:10" ht="15.75" thickBot="1" x14ac:dyDescent="0.3">
      <c r="A14" s="29">
        <v>10</v>
      </c>
      <c r="B14" s="36" t="s">
        <v>162</v>
      </c>
      <c r="C14" s="36">
        <v>15150355</v>
      </c>
      <c r="D14" s="35">
        <v>35472</v>
      </c>
      <c r="E14" s="21">
        <v>15</v>
      </c>
      <c r="F14" s="21">
        <v>17</v>
      </c>
      <c r="G14" s="21">
        <v>32</v>
      </c>
      <c r="H14" s="21">
        <v>2.1</v>
      </c>
      <c r="I14" s="21">
        <v>1.32</v>
      </c>
      <c r="J14" s="22">
        <f>AVERAGE(H14:I14)</f>
        <v>1.71</v>
      </c>
    </row>
    <row r="15" spans="1:10" ht="15.75" thickBot="1" x14ac:dyDescent="0.3">
      <c r="A15" s="29">
        <v>11</v>
      </c>
      <c r="B15" s="36" t="s">
        <v>163</v>
      </c>
      <c r="C15" s="36">
        <v>15150385</v>
      </c>
      <c r="D15" s="36" t="s">
        <v>164</v>
      </c>
      <c r="E15" s="21">
        <v>17</v>
      </c>
      <c r="F15" s="21">
        <v>17</v>
      </c>
      <c r="G15" s="21">
        <v>34</v>
      </c>
      <c r="H15" s="21">
        <v>1.5</v>
      </c>
      <c r="I15" s="21">
        <v>1.69</v>
      </c>
      <c r="J15" s="22">
        <f>AVERAGE(H15:I15)</f>
        <v>1.595</v>
      </c>
    </row>
    <row r="16" spans="1:10" ht="15.75" thickBot="1" x14ac:dyDescent="0.3">
      <c r="A16" s="29">
        <v>12</v>
      </c>
      <c r="B16" s="36" t="s">
        <v>61</v>
      </c>
      <c r="C16" s="36">
        <v>15150393</v>
      </c>
      <c r="D16" s="36" t="s">
        <v>165</v>
      </c>
      <c r="E16" s="21">
        <v>15</v>
      </c>
      <c r="F16" s="21">
        <v>14</v>
      </c>
      <c r="G16" s="21">
        <v>29</v>
      </c>
      <c r="H16" s="21">
        <v>0.87</v>
      </c>
      <c r="I16" s="21">
        <v>1.1399999999999999</v>
      </c>
      <c r="J16" s="22">
        <f>AVERAGE(H18:I18)</f>
        <v>1.01</v>
      </c>
    </row>
    <row r="17" spans="1:10" ht="15.75" thickBot="1" x14ac:dyDescent="0.3">
      <c r="A17" s="29">
        <v>13</v>
      </c>
      <c r="B17" s="36" t="s">
        <v>166</v>
      </c>
      <c r="C17" s="36">
        <v>15150330</v>
      </c>
      <c r="D17" s="36" t="s">
        <v>167</v>
      </c>
      <c r="E17" s="21">
        <v>15</v>
      </c>
      <c r="F17" s="21">
        <v>17</v>
      </c>
      <c r="G17" s="21">
        <v>32</v>
      </c>
      <c r="H17" s="21">
        <v>2</v>
      </c>
      <c r="I17" s="21">
        <v>1.1200000000000001</v>
      </c>
      <c r="J17" s="22">
        <f>AVERAGE(H18:I18)</f>
        <v>1.01</v>
      </c>
    </row>
    <row r="18" spans="1:10" ht="15.75" thickBot="1" x14ac:dyDescent="0.3">
      <c r="A18" s="29">
        <v>14</v>
      </c>
      <c r="B18" s="36" t="s">
        <v>168</v>
      </c>
      <c r="C18" s="36">
        <v>15150332</v>
      </c>
      <c r="D18" s="35">
        <v>35439</v>
      </c>
      <c r="E18" s="21">
        <v>15</v>
      </c>
      <c r="F18" s="21">
        <v>19</v>
      </c>
      <c r="G18" s="21">
        <v>34</v>
      </c>
      <c r="H18" s="21">
        <v>1.83</v>
      </c>
      <c r="I18" s="21">
        <v>0.19</v>
      </c>
      <c r="J18" s="22">
        <f>AVERAGE(H19:I19)</f>
        <v>1.23</v>
      </c>
    </row>
    <row r="19" spans="1:10" ht="15.75" thickBot="1" x14ac:dyDescent="0.3">
      <c r="A19" s="29">
        <v>15</v>
      </c>
      <c r="B19" s="36" t="s">
        <v>169</v>
      </c>
      <c r="C19" s="36">
        <v>15150333</v>
      </c>
      <c r="D19" s="36" t="s">
        <v>124</v>
      </c>
      <c r="E19" s="21">
        <v>15</v>
      </c>
      <c r="F19" s="21">
        <v>17</v>
      </c>
      <c r="G19" s="21">
        <v>32</v>
      </c>
      <c r="H19" s="21">
        <v>0.4</v>
      </c>
      <c r="I19" s="21">
        <v>2.06</v>
      </c>
      <c r="J19" s="22">
        <f t="shared" ref="J19" si="0">AVERAGE(J6:J18)</f>
        <v>1.5450000000000002</v>
      </c>
    </row>
    <row r="20" spans="1:10" ht="15.75" thickBot="1" x14ac:dyDescent="0.3">
      <c r="A20" s="29">
        <v>16</v>
      </c>
      <c r="B20" s="36" t="s">
        <v>170</v>
      </c>
      <c r="C20" s="36">
        <v>15150334</v>
      </c>
      <c r="D20" s="36" t="s">
        <v>171</v>
      </c>
      <c r="E20" s="21">
        <v>15</v>
      </c>
      <c r="F20" s="21">
        <v>17</v>
      </c>
      <c r="G20" s="21">
        <v>32</v>
      </c>
      <c r="H20" s="21">
        <v>2.67</v>
      </c>
      <c r="I20" s="21">
        <v>2.06</v>
      </c>
      <c r="J20" s="22">
        <f>AVERAGE(H21:I21)</f>
        <v>1.9849999999999999</v>
      </c>
    </row>
    <row r="21" spans="1:10" ht="15.75" thickBot="1" x14ac:dyDescent="0.3">
      <c r="A21" s="29">
        <v>17</v>
      </c>
      <c r="B21" s="36" t="s">
        <v>172</v>
      </c>
      <c r="C21" s="36">
        <v>15150362</v>
      </c>
      <c r="D21" s="35">
        <v>35465</v>
      </c>
      <c r="E21" s="21">
        <v>18</v>
      </c>
      <c r="F21" s="21">
        <v>17</v>
      </c>
      <c r="G21" s="21">
        <v>35</v>
      </c>
      <c r="H21" s="21">
        <v>1.97</v>
      </c>
      <c r="I21" s="21">
        <v>2</v>
      </c>
      <c r="J21" s="22">
        <f>AVERAGE(H22:I22)</f>
        <v>1.2250000000000001</v>
      </c>
    </row>
    <row r="22" spans="1:10" ht="15.75" thickBot="1" x14ac:dyDescent="0.3">
      <c r="A22" s="29">
        <v>19</v>
      </c>
      <c r="B22" s="36" t="s">
        <v>173</v>
      </c>
      <c r="C22" s="36">
        <v>14150276</v>
      </c>
      <c r="D22" s="36" t="s">
        <v>174</v>
      </c>
      <c r="E22" s="21">
        <v>10</v>
      </c>
      <c r="F22" s="21">
        <v>14</v>
      </c>
      <c r="G22" s="21">
        <v>24</v>
      </c>
      <c r="H22" s="21">
        <v>0.95</v>
      </c>
      <c r="I22" s="21">
        <v>1.5</v>
      </c>
      <c r="J22" s="22">
        <f>AVERAGE(H23:I23)</f>
        <v>1.38</v>
      </c>
    </row>
    <row r="23" spans="1:10" ht="15.75" thickBot="1" x14ac:dyDescent="0.3">
      <c r="A23" s="29">
        <v>20</v>
      </c>
      <c r="B23" s="36" t="s">
        <v>175</v>
      </c>
      <c r="C23" s="36">
        <v>14151497</v>
      </c>
      <c r="D23" s="36" t="s">
        <v>176</v>
      </c>
      <c r="E23" s="21">
        <v>12</v>
      </c>
      <c r="F23" s="21">
        <v>19</v>
      </c>
      <c r="G23" s="21">
        <v>31</v>
      </c>
      <c r="H23" s="21">
        <v>1</v>
      </c>
      <c r="I23" s="21">
        <v>1.76</v>
      </c>
      <c r="J23" s="22">
        <f>AVERAGE(H24:I24)</f>
        <v>1.4950000000000001</v>
      </c>
    </row>
    <row r="24" spans="1:10" ht="15.75" thickBot="1" x14ac:dyDescent="0.3">
      <c r="A24" s="29">
        <v>21</v>
      </c>
      <c r="B24" s="36" t="s">
        <v>177</v>
      </c>
      <c r="C24" s="36">
        <v>15150392</v>
      </c>
      <c r="D24" s="35">
        <v>35462</v>
      </c>
      <c r="E24" s="21">
        <v>15</v>
      </c>
      <c r="F24" s="21">
        <v>14</v>
      </c>
      <c r="G24" s="21">
        <v>29</v>
      </c>
      <c r="H24" s="21">
        <v>1.6</v>
      </c>
      <c r="I24" s="21">
        <v>1.39</v>
      </c>
      <c r="J24" s="22">
        <f>AVERAGE(H21:I21)</f>
        <v>1.9849999999999999</v>
      </c>
    </row>
    <row r="25" spans="1:10" ht="15.75" thickBot="1" x14ac:dyDescent="0.3">
      <c r="A25" s="29">
        <v>22</v>
      </c>
      <c r="B25" s="36" t="s">
        <v>178</v>
      </c>
      <c r="C25" s="36">
        <v>15150366</v>
      </c>
      <c r="D25" s="36" t="s">
        <v>179</v>
      </c>
      <c r="E25" s="21">
        <v>15</v>
      </c>
      <c r="F25" s="21">
        <v>17</v>
      </c>
      <c r="G25" s="21">
        <v>32</v>
      </c>
      <c r="H25" s="21">
        <v>3.23</v>
      </c>
      <c r="I25" s="21">
        <v>3.29</v>
      </c>
      <c r="J25" s="22">
        <f t="shared" ref="J25:J33" si="1">AVERAGE(H25:I25)</f>
        <v>3.26</v>
      </c>
    </row>
    <row r="26" spans="1:10" ht="15.75" thickBot="1" x14ac:dyDescent="0.3">
      <c r="A26" s="29">
        <v>23</v>
      </c>
      <c r="B26" s="36" t="s">
        <v>57</v>
      </c>
      <c r="C26" s="36">
        <v>15150329</v>
      </c>
      <c r="D26" s="36" t="s">
        <v>180</v>
      </c>
      <c r="E26" s="21">
        <v>15</v>
      </c>
      <c r="F26" s="21">
        <v>17</v>
      </c>
      <c r="G26" s="21">
        <v>32</v>
      </c>
      <c r="H26" s="21">
        <v>2.73</v>
      </c>
      <c r="I26" s="21">
        <v>2.68</v>
      </c>
      <c r="J26" s="22">
        <f t="shared" si="1"/>
        <v>2.7050000000000001</v>
      </c>
    </row>
    <row r="27" spans="1:10" ht="15.75" thickBot="1" x14ac:dyDescent="0.3">
      <c r="A27" s="29">
        <v>24</v>
      </c>
      <c r="B27" s="36" t="s">
        <v>181</v>
      </c>
      <c r="C27" s="36">
        <v>15150337</v>
      </c>
      <c r="D27" s="36" t="s">
        <v>182</v>
      </c>
      <c r="E27" s="21">
        <v>16</v>
      </c>
      <c r="F27" s="21">
        <v>17</v>
      </c>
      <c r="G27" s="21">
        <v>33</v>
      </c>
      <c r="H27" s="21">
        <v>2.0699999999999998</v>
      </c>
      <c r="I27" s="21">
        <v>2.27</v>
      </c>
      <c r="J27" s="22">
        <f t="shared" si="1"/>
        <v>2.17</v>
      </c>
    </row>
    <row r="28" spans="1:10" ht="15.75" thickBot="1" x14ac:dyDescent="0.3">
      <c r="A28" s="29">
        <v>25</v>
      </c>
      <c r="B28" s="36" t="s">
        <v>183</v>
      </c>
      <c r="C28" s="36">
        <v>15150348</v>
      </c>
      <c r="D28" s="36" t="s">
        <v>184</v>
      </c>
      <c r="E28" s="21">
        <v>16</v>
      </c>
      <c r="F28" s="21">
        <v>17</v>
      </c>
      <c r="G28" s="21">
        <v>33</v>
      </c>
      <c r="H28" s="21">
        <v>2.72</v>
      </c>
      <c r="I28" s="21">
        <v>2.71</v>
      </c>
      <c r="J28" s="22">
        <f t="shared" si="1"/>
        <v>2.7149999999999999</v>
      </c>
    </row>
    <row r="29" spans="1:10" ht="15.75" thickBot="1" x14ac:dyDescent="0.3">
      <c r="A29" s="29">
        <v>26</v>
      </c>
      <c r="B29" s="36" t="s">
        <v>135</v>
      </c>
      <c r="C29" s="36">
        <v>15150401</v>
      </c>
      <c r="D29" s="35">
        <v>35712</v>
      </c>
      <c r="E29" s="21">
        <v>16</v>
      </c>
      <c r="F29" s="21">
        <v>19</v>
      </c>
      <c r="G29" s="21">
        <v>35</v>
      </c>
      <c r="H29" s="21">
        <v>2.91</v>
      </c>
      <c r="I29" s="21">
        <v>3.05</v>
      </c>
      <c r="J29" s="22">
        <f t="shared" si="1"/>
        <v>2.98</v>
      </c>
    </row>
    <row r="30" spans="1:10" ht="15.75" thickBot="1" x14ac:dyDescent="0.3">
      <c r="A30" s="29">
        <v>27</v>
      </c>
      <c r="B30" s="36" t="s">
        <v>72</v>
      </c>
      <c r="C30" s="36">
        <v>15150339</v>
      </c>
      <c r="D30" s="35">
        <v>35766</v>
      </c>
      <c r="E30" s="21">
        <v>15</v>
      </c>
      <c r="F30" s="21">
        <v>17</v>
      </c>
      <c r="G30" s="21">
        <v>32</v>
      </c>
      <c r="H30" s="21">
        <v>1.87</v>
      </c>
      <c r="I30" s="21">
        <v>2.0299999999999998</v>
      </c>
      <c r="J30" s="22">
        <f t="shared" si="1"/>
        <v>1.95</v>
      </c>
    </row>
    <row r="31" spans="1:10" ht="15.75" thickBot="1" x14ac:dyDescent="0.3">
      <c r="A31" s="29">
        <v>28</v>
      </c>
      <c r="B31" s="36" t="s">
        <v>141</v>
      </c>
      <c r="C31" s="36">
        <v>15150409</v>
      </c>
      <c r="D31" s="35">
        <v>35765</v>
      </c>
      <c r="E31" s="21">
        <v>18</v>
      </c>
      <c r="F31" s="21">
        <v>17</v>
      </c>
      <c r="G31" s="21">
        <v>35</v>
      </c>
      <c r="H31" s="21">
        <v>2.58</v>
      </c>
      <c r="I31" s="21">
        <v>2.82</v>
      </c>
      <c r="J31" s="22">
        <f t="shared" si="1"/>
        <v>2.7</v>
      </c>
    </row>
    <row r="32" spans="1:10" ht="15.75" thickBot="1" x14ac:dyDescent="0.3">
      <c r="A32" s="29">
        <v>29</v>
      </c>
      <c r="B32" s="36" t="s">
        <v>127</v>
      </c>
      <c r="C32" s="36">
        <v>15150340</v>
      </c>
      <c r="D32" s="36" t="s">
        <v>185</v>
      </c>
      <c r="E32" s="21">
        <v>15</v>
      </c>
      <c r="F32" s="21">
        <v>17</v>
      </c>
      <c r="G32" s="21">
        <v>32</v>
      </c>
      <c r="H32" s="21">
        <v>2.5</v>
      </c>
      <c r="I32" s="21">
        <v>2.8</v>
      </c>
      <c r="J32" s="22">
        <f t="shared" si="1"/>
        <v>2.65</v>
      </c>
    </row>
    <row r="33" spans="1:10" ht="15.75" thickBot="1" x14ac:dyDescent="0.3">
      <c r="A33" s="29">
        <v>30</v>
      </c>
      <c r="B33" s="36" t="s">
        <v>186</v>
      </c>
      <c r="C33" s="36">
        <v>15150391</v>
      </c>
      <c r="D33" s="36" t="s">
        <v>187</v>
      </c>
      <c r="E33" s="21">
        <v>17</v>
      </c>
      <c r="F33" s="21">
        <v>17</v>
      </c>
      <c r="G33" s="21">
        <v>34</v>
      </c>
      <c r="H33" s="21">
        <v>1.94</v>
      </c>
      <c r="I33" s="21">
        <v>2.35</v>
      </c>
      <c r="J33" s="22">
        <f t="shared" si="1"/>
        <v>2.145</v>
      </c>
    </row>
    <row r="34" spans="1:10" ht="15.75" thickBot="1" x14ac:dyDescent="0.3">
      <c r="A34" s="29">
        <v>31</v>
      </c>
      <c r="B34" s="36" t="s">
        <v>188</v>
      </c>
      <c r="C34" s="36">
        <v>14150028</v>
      </c>
      <c r="D34" s="36" t="s">
        <v>189</v>
      </c>
      <c r="E34" s="21">
        <v>14</v>
      </c>
      <c r="F34" s="21">
        <v>17</v>
      </c>
      <c r="G34" s="21">
        <v>31</v>
      </c>
      <c r="H34" s="21">
        <v>1.36</v>
      </c>
      <c r="I34" s="21">
        <v>1.97</v>
      </c>
      <c r="J34" s="22">
        <f>AVERAGE(H34:I35)</f>
        <v>1.145</v>
      </c>
    </row>
    <row r="35" spans="1:10" ht="15.75" thickBot="1" x14ac:dyDescent="0.3">
      <c r="A35" s="29">
        <v>32</v>
      </c>
      <c r="B35" s="36" t="s">
        <v>96</v>
      </c>
      <c r="C35" s="36">
        <v>15150349</v>
      </c>
      <c r="D35" s="35">
        <v>35649</v>
      </c>
      <c r="E35" s="21">
        <v>12</v>
      </c>
      <c r="F35" s="21">
        <v>14</v>
      </c>
      <c r="G35" s="21">
        <v>26</v>
      </c>
      <c r="H35" s="21">
        <v>0.5</v>
      </c>
      <c r="I35" s="21">
        <v>0.75</v>
      </c>
      <c r="J35" s="22">
        <f t="shared" ref="J35:J43" si="2">AVERAGE(H35:I35)</f>
        <v>0.625</v>
      </c>
    </row>
    <row r="36" spans="1:10" ht="15.75" thickBot="1" x14ac:dyDescent="0.3">
      <c r="A36" s="29">
        <v>33</v>
      </c>
      <c r="B36" s="36" t="s">
        <v>190</v>
      </c>
      <c r="C36" s="36">
        <v>15150360</v>
      </c>
      <c r="D36" s="36" t="s">
        <v>184</v>
      </c>
      <c r="E36" s="21">
        <v>15</v>
      </c>
      <c r="F36" s="21">
        <v>17</v>
      </c>
      <c r="G36" s="21">
        <v>32</v>
      </c>
      <c r="H36" s="21">
        <v>1.35</v>
      </c>
      <c r="I36" s="21">
        <v>0.54</v>
      </c>
      <c r="J36" s="22">
        <f t="shared" si="2"/>
        <v>0.94500000000000006</v>
      </c>
    </row>
    <row r="37" spans="1:10" ht="15.75" thickBot="1" x14ac:dyDescent="0.3">
      <c r="A37" s="29">
        <v>34</v>
      </c>
      <c r="B37" s="36" t="s">
        <v>85</v>
      </c>
      <c r="C37" s="36">
        <v>15150373</v>
      </c>
      <c r="D37" s="35">
        <v>35585</v>
      </c>
      <c r="E37" s="21">
        <v>15</v>
      </c>
      <c r="F37" s="21">
        <v>17</v>
      </c>
      <c r="G37" s="21">
        <v>32</v>
      </c>
      <c r="H37" s="21">
        <v>0.97</v>
      </c>
      <c r="I37" s="21">
        <v>2.06</v>
      </c>
      <c r="J37" s="22">
        <f t="shared" si="2"/>
        <v>1.5150000000000001</v>
      </c>
    </row>
    <row r="38" spans="1:10" ht="15.75" thickBot="1" x14ac:dyDescent="0.3">
      <c r="A38" s="29">
        <v>35</v>
      </c>
      <c r="B38" s="36" t="s">
        <v>191</v>
      </c>
      <c r="C38" s="36">
        <v>15150384</v>
      </c>
      <c r="D38" s="35">
        <v>35622</v>
      </c>
      <c r="E38" s="21">
        <v>15</v>
      </c>
      <c r="F38" s="21">
        <v>17</v>
      </c>
      <c r="G38" s="21">
        <v>32</v>
      </c>
      <c r="H38" s="21">
        <v>2.87</v>
      </c>
      <c r="I38" s="21">
        <v>2.74</v>
      </c>
      <c r="J38" s="22">
        <f t="shared" si="2"/>
        <v>2.8050000000000002</v>
      </c>
    </row>
    <row r="39" spans="1:10" ht="15.75" thickBot="1" x14ac:dyDescent="0.3">
      <c r="A39" s="29">
        <v>36</v>
      </c>
      <c r="B39" s="36" t="s">
        <v>133</v>
      </c>
      <c r="C39" s="36">
        <v>15150350</v>
      </c>
      <c r="D39" s="35">
        <v>35735</v>
      </c>
      <c r="E39" s="21">
        <v>15</v>
      </c>
      <c r="F39" s="21">
        <v>18</v>
      </c>
      <c r="G39" s="21">
        <v>33</v>
      </c>
      <c r="H39" s="21">
        <v>3.21</v>
      </c>
      <c r="I39" s="21">
        <v>3.54</v>
      </c>
      <c r="J39" s="22">
        <f t="shared" si="2"/>
        <v>3.375</v>
      </c>
    </row>
    <row r="40" spans="1:10" ht="15.75" thickBot="1" x14ac:dyDescent="0.3">
      <c r="A40" s="29">
        <v>37</v>
      </c>
      <c r="B40" s="36" t="s">
        <v>70</v>
      </c>
      <c r="C40" s="36">
        <v>15150405</v>
      </c>
      <c r="D40" s="35">
        <v>35646</v>
      </c>
      <c r="E40" s="21">
        <v>15</v>
      </c>
      <c r="F40" s="21">
        <v>19</v>
      </c>
      <c r="G40" s="21">
        <v>34</v>
      </c>
      <c r="H40" s="21">
        <v>2.4300000000000002</v>
      </c>
      <c r="I40" s="21">
        <v>3.21</v>
      </c>
      <c r="J40" s="22">
        <f t="shared" si="2"/>
        <v>2.8200000000000003</v>
      </c>
    </row>
    <row r="41" spans="1:10" ht="15.75" thickBot="1" x14ac:dyDescent="0.3">
      <c r="A41" s="29">
        <v>38</v>
      </c>
      <c r="B41" s="36" t="s">
        <v>132</v>
      </c>
      <c r="C41" s="36">
        <v>15150375</v>
      </c>
      <c r="D41" s="36" t="s">
        <v>192</v>
      </c>
      <c r="E41" s="21">
        <v>15</v>
      </c>
      <c r="F41" s="21">
        <v>14</v>
      </c>
      <c r="G41" s="21">
        <v>29</v>
      </c>
      <c r="H41" s="21">
        <v>2.11</v>
      </c>
      <c r="I41" s="21">
        <v>2.21</v>
      </c>
      <c r="J41" s="22">
        <f t="shared" si="2"/>
        <v>2.16</v>
      </c>
    </row>
    <row r="42" spans="1:10" ht="15.75" thickBot="1" x14ac:dyDescent="0.3">
      <c r="A42" s="29">
        <v>39</v>
      </c>
      <c r="B42" s="36" t="s">
        <v>193</v>
      </c>
      <c r="C42" s="36">
        <v>15150419</v>
      </c>
      <c r="D42" s="35">
        <v>35554</v>
      </c>
      <c r="E42" s="21">
        <v>17</v>
      </c>
      <c r="F42" s="21">
        <v>14</v>
      </c>
      <c r="G42" s="21">
        <v>31</v>
      </c>
      <c r="H42" s="21">
        <v>2.09</v>
      </c>
      <c r="I42" s="21">
        <v>2.89</v>
      </c>
      <c r="J42" s="22">
        <f t="shared" si="2"/>
        <v>2.4900000000000002</v>
      </c>
    </row>
    <row r="43" spans="1:10" ht="15.75" thickBot="1" x14ac:dyDescent="0.3">
      <c r="A43" s="29">
        <v>40</v>
      </c>
      <c r="B43" s="36" t="s">
        <v>194</v>
      </c>
      <c r="C43" s="36">
        <v>15150381</v>
      </c>
      <c r="D43" s="36" t="s">
        <v>195</v>
      </c>
      <c r="E43" s="21">
        <v>15</v>
      </c>
      <c r="F43" s="21">
        <v>19</v>
      </c>
      <c r="G43" s="21">
        <v>34</v>
      </c>
      <c r="H43" s="21">
        <v>2.57</v>
      </c>
      <c r="I43" s="21">
        <v>2.4500000000000002</v>
      </c>
      <c r="J43" s="22">
        <f t="shared" si="2"/>
        <v>2.5099999999999998</v>
      </c>
    </row>
    <row r="44" spans="1:10" ht="15.75" thickBot="1" x14ac:dyDescent="0.3">
      <c r="A44" s="29">
        <v>41</v>
      </c>
      <c r="B44" s="36" t="s">
        <v>196</v>
      </c>
      <c r="C44" s="36">
        <v>15150423</v>
      </c>
      <c r="D44" s="35">
        <v>35705</v>
      </c>
      <c r="E44" s="21">
        <v>17</v>
      </c>
      <c r="F44" s="21">
        <v>15</v>
      </c>
      <c r="G44" s="21">
        <v>32</v>
      </c>
      <c r="H44" s="21">
        <v>2.4700000000000002</v>
      </c>
      <c r="I44" s="21">
        <v>2.8</v>
      </c>
      <c r="J44" s="22">
        <f>AVERAGE(H44:I45)</f>
        <v>2.415</v>
      </c>
    </row>
    <row r="45" spans="1:10" ht="15.75" thickBot="1" x14ac:dyDescent="0.3">
      <c r="A45" s="29">
        <v>42</v>
      </c>
      <c r="B45" s="36" t="s">
        <v>197</v>
      </c>
      <c r="C45" s="36">
        <v>15150376</v>
      </c>
      <c r="D45" s="35">
        <v>35712</v>
      </c>
      <c r="E45" s="21">
        <v>15</v>
      </c>
      <c r="F45" s="21">
        <v>18</v>
      </c>
      <c r="G45" s="21">
        <v>33</v>
      </c>
      <c r="H45" s="21">
        <v>2.2000000000000002</v>
      </c>
      <c r="I45" s="21">
        <v>2.19</v>
      </c>
      <c r="J45" s="22">
        <f t="shared" ref="J45:J53" si="3">AVERAGE(H45:I45)</f>
        <v>2.1950000000000003</v>
      </c>
    </row>
    <row r="46" spans="1:10" ht="15.75" thickBot="1" x14ac:dyDescent="0.3">
      <c r="A46" s="29">
        <v>43</v>
      </c>
      <c r="B46" s="36" t="s">
        <v>198</v>
      </c>
      <c r="C46" s="36">
        <v>15150365</v>
      </c>
      <c r="D46" s="36" t="s">
        <v>199</v>
      </c>
      <c r="E46" s="21">
        <v>18</v>
      </c>
      <c r="F46" s="21">
        <v>14</v>
      </c>
      <c r="G46" s="21">
        <v>32</v>
      </c>
      <c r="H46" s="21">
        <v>2.75</v>
      </c>
      <c r="I46" s="21">
        <v>3.22</v>
      </c>
      <c r="J46" s="22">
        <f t="shared" si="3"/>
        <v>2.9850000000000003</v>
      </c>
    </row>
    <row r="47" spans="1:10" ht="15.75" thickBot="1" x14ac:dyDescent="0.3">
      <c r="A47" s="29">
        <v>44</v>
      </c>
      <c r="B47" s="36" t="s">
        <v>129</v>
      </c>
      <c r="C47" s="36">
        <v>15150351</v>
      </c>
      <c r="D47" s="36" t="s">
        <v>200</v>
      </c>
      <c r="E47" s="21">
        <v>18</v>
      </c>
      <c r="F47" s="21">
        <v>19</v>
      </c>
      <c r="G47" s="21">
        <v>37</v>
      </c>
      <c r="H47" s="21">
        <v>2.96</v>
      </c>
      <c r="I47" s="21">
        <v>3.14</v>
      </c>
      <c r="J47" s="22">
        <f t="shared" si="3"/>
        <v>3.05</v>
      </c>
    </row>
    <row r="48" spans="1:10" ht="15.75" thickBot="1" x14ac:dyDescent="0.3">
      <c r="A48" s="29">
        <v>45</v>
      </c>
      <c r="B48" s="36" t="s">
        <v>131</v>
      </c>
      <c r="C48" s="36">
        <v>15150356</v>
      </c>
      <c r="D48" s="35">
        <v>35704</v>
      </c>
      <c r="E48" s="21">
        <v>18</v>
      </c>
      <c r="F48" s="21">
        <v>17</v>
      </c>
      <c r="G48" s="21">
        <v>35</v>
      </c>
      <c r="H48" s="21">
        <v>2.72</v>
      </c>
      <c r="I48" s="21">
        <v>2.48</v>
      </c>
      <c r="J48" s="22">
        <f t="shared" si="3"/>
        <v>2.6</v>
      </c>
    </row>
    <row r="49" spans="1:10" ht="15.75" thickBot="1" x14ac:dyDescent="0.3">
      <c r="A49" s="29">
        <v>47</v>
      </c>
      <c r="B49" s="36" t="s">
        <v>71</v>
      </c>
      <c r="C49" s="36">
        <v>15150398</v>
      </c>
      <c r="D49" s="36" t="s">
        <v>201</v>
      </c>
      <c r="E49" s="21">
        <v>15</v>
      </c>
      <c r="F49" s="21">
        <v>15</v>
      </c>
      <c r="G49" s="21">
        <v>30</v>
      </c>
      <c r="H49" s="21">
        <v>2.5299999999999998</v>
      </c>
      <c r="I49" s="21">
        <v>3.1</v>
      </c>
      <c r="J49" s="22">
        <f t="shared" si="3"/>
        <v>2.8149999999999999</v>
      </c>
    </row>
    <row r="50" spans="1:10" ht="15.75" thickBot="1" x14ac:dyDescent="0.3">
      <c r="A50" s="29">
        <v>48</v>
      </c>
      <c r="B50" s="36" t="s">
        <v>202</v>
      </c>
      <c r="C50" s="36">
        <v>15150416</v>
      </c>
      <c r="D50" s="36" t="s">
        <v>203</v>
      </c>
      <c r="E50" s="21">
        <v>15</v>
      </c>
      <c r="F50" s="21">
        <v>14</v>
      </c>
      <c r="G50" s="21">
        <v>29</v>
      </c>
      <c r="H50" s="21">
        <v>2.5299999999999998</v>
      </c>
      <c r="I50" s="21">
        <v>3.11</v>
      </c>
      <c r="J50" s="22">
        <f t="shared" si="3"/>
        <v>2.82</v>
      </c>
    </row>
    <row r="51" spans="1:10" ht="15.75" thickBot="1" x14ac:dyDescent="0.3">
      <c r="A51" s="29">
        <v>49</v>
      </c>
      <c r="B51" s="36" t="s">
        <v>69</v>
      </c>
      <c r="C51" s="36">
        <v>15150387</v>
      </c>
      <c r="D51" s="36" t="s">
        <v>204</v>
      </c>
      <c r="E51" s="21">
        <v>15</v>
      </c>
      <c r="F51" s="21">
        <v>20</v>
      </c>
      <c r="G51" s="21">
        <v>35</v>
      </c>
      <c r="H51" s="21">
        <v>2.17</v>
      </c>
      <c r="I51" s="21">
        <v>2.3199999999999998</v>
      </c>
      <c r="J51" s="22">
        <f t="shared" si="3"/>
        <v>2.2450000000000001</v>
      </c>
    </row>
    <row r="52" spans="1:10" ht="15.75" thickBot="1" x14ac:dyDescent="0.3">
      <c r="A52" s="29">
        <v>50</v>
      </c>
      <c r="B52" s="36" t="s">
        <v>205</v>
      </c>
      <c r="C52" s="36">
        <v>15150359</v>
      </c>
      <c r="D52" s="36" t="s">
        <v>206</v>
      </c>
      <c r="E52" s="21">
        <v>15</v>
      </c>
      <c r="F52" s="21">
        <v>17</v>
      </c>
      <c r="G52" s="21">
        <v>32</v>
      </c>
      <c r="H52" s="21">
        <v>2.73</v>
      </c>
      <c r="I52" s="21">
        <v>2.21</v>
      </c>
      <c r="J52" s="22">
        <f t="shared" si="3"/>
        <v>2.4699999999999998</v>
      </c>
    </row>
    <row r="53" spans="1:10" ht="15.75" thickBot="1" x14ac:dyDescent="0.3">
      <c r="A53" s="29">
        <v>51</v>
      </c>
      <c r="B53" s="36" t="s">
        <v>207</v>
      </c>
      <c r="C53" s="36">
        <v>15150406</v>
      </c>
      <c r="D53" s="35">
        <v>35501</v>
      </c>
      <c r="E53" s="21">
        <v>15</v>
      </c>
      <c r="F53" s="21">
        <v>17</v>
      </c>
      <c r="G53" s="21">
        <v>32</v>
      </c>
      <c r="H53" s="21">
        <v>2.7</v>
      </c>
      <c r="I53" s="21">
        <v>1.71</v>
      </c>
      <c r="J53" s="22">
        <f t="shared" si="3"/>
        <v>2.2050000000000001</v>
      </c>
    </row>
    <row r="54" spans="1:10" ht="15.75" thickBot="1" x14ac:dyDescent="0.3">
      <c r="A54" s="29">
        <v>52</v>
      </c>
      <c r="B54" s="36" t="s">
        <v>208</v>
      </c>
      <c r="C54" s="36">
        <v>15150058</v>
      </c>
      <c r="D54" s="35">
        <v>34767</v>
      </c>
      <c r="E54" s="21">
        <v>20</v>
      </c>
      <c r="F54" s="21">
        <v>20</v>
      </c>
      <c r="G54" s="21">
        <v>40</v>
      </c>
      <c r="H54" s="21">
        <v>2.74</v>
      </c>
      <c r="I54" s="21">
        <v>3.07</v>
      </c>
      <c r="J54" s="22">
        <f>AVERAGE(H54:I55)</f>
        <v>2.8925000000000001</v>
      </c>
    </row>
    <row r="55" spans="1:10" ht="15.75" thickBot="1" x14ac:dyDescent="0.3">
      <c r="A55" s="29">
        <v>53</v>
      </c>
      <c r="B55" s="36" t="s">
        <v>209</v>
      </c>
      <c r="C55" s="36">
        <v>15150374</v>
      </c>
      <c r="D55" s="36" t="s">
        <v>210</v>
      </c>
      <c r="E55" s="21">
        <v>15</v>
      </c>
      <c r="F55" s="21">
        <v>18</v>
      </c>
      <c r="G55" s="21">
        <v>33</v>
      </c>
      <c r="H55" s="21">
        <v>2.64</v>
      </c>
      <c r="I55" s="21">
        <v>3.12</v>
      </c>
      <c r="J55" s="22">
        <f>AVERAGE(H55:I55)</f>
        <v>2.88</v>
      </c>
    </row>
    <row r="56" spans="1:10" ht="15.75" thickBot="1" x14ac:dyDescent="0.3">
      <c r="A56" s="29">
        <v>54</v>
      </c>
      <c r="B56" s="36" t="s">
        <v>211</v>
      </c>
      <c r="C56" s="36">
        <v>15150397</v>
      </c>
      <c r="D56" s="36" t="s">
        <v>185</v>
      </c>
      <c r="E56" s="21">
        <v>15</v>
      </c>
      <c r="F56" s="21">
        <v>17</v>
      </c>
      <c r="G56" s="21">
        <v>32</v>
      </c>
      <c r="H56" s="21">
        <v>2.4</v>
      </c>
      <c r="I56" s="21">
        <v>2.74</v>
      </c>
      <c r="J56" s="22">
        <f>AVERAGE(H56:I56)</f>
        <v>2.5700000000000003</v>
      </c>
    </row>
    <row r="57" spans="1:10" ht="15.75" thickBot="1" x14ac:dyDescent="0.3">
      <c r="A57" s="29">
        <v>55</v>
      </c>
      <c r="B57" s="36" t="s">
        <v>212</v>
      </c>
      <c r="C57" s="36">
        <v>15150379</v>
      </c>
      <c r="D57" s="35">
        <v>35562</v>
      </c>
      <c r="E57" s="21">
        <v>18</v>
      </c>
      <c r="F57" s="21">
        <v>12</v>
      </c>
      <c r="G57" s="21">
        <v>30</v>
      </c>
      <c r="H57" s="21">
        <v>2.98</v>
      </c>
      <c r="I57" s="21">
        <v>3.05</v>
      </c>
      <c r="J57" s="22">
        <f>AVERAGE(H57:I57)</f>
        <v>3.0149999999999997</v>
      </c>
    </row>
    <row r="58" spans="1:10" ht="15.75" thickBot="1" x14ac:dyDescent="0.3">
      <c r="A58" s="29">
        <v>56</v>
      </c>
      <c r="B58" s="36" t="s">
        <v>213</v>
      </c>
      <c r="C58" s="36">
        <v>15151680</v>
      </c>
      <c r="D58" s="35">
        <v>35005</v>
      </c>
      <c r="E58" s="21">
        <v>20</v>
      </c>
      <c r="F58" s="21">
        <v>21</v>
      </c>
      <c r="G58" s="21">
        <v>41</v>
      </c>
      <c r="H58" s="21">
        <v>3.05</v>
      </c>
      <c r="I58" s="21">
        <v>3.07</v>
      </c>
      <c r="J58" s="22">
        <f>AVERAGE(H58:I58)</f>
        <v>3.0599999999999996</v>
      </c>
    </row>
    <row r="59" spans="1:10" ht="15.75" thickBot="1" x14ac:dyDescent="0.3">
      <c r="A59" s="24"/>
      <c r="J59" s="58"/>
    </row>
    <row r="60" spans="1:10" ht="15.75" thickBot="1" x14ac:dyDescent="0.3">
      <c r="A60" s="25"/>
    </row>
    <row r="61" spans="1:10" ht="30.75" thickBot="1" x14ac:dyDescent="0.3">
      <c r="A61" s="26" t="s">
        <v>214</v>
      </c>
      <c r="B61" s="27" t="s">
        <v>215</v>
      </c>
    </row>
    <row r="62" spans="1:10" ht="15.75" thickBot="1" x14ac:dyDescent="0.3">
      <c r="A62" s="23" t="s">
        <v>42</v>
      </c>
      <c r="B62" s="22" t="s">
        <v>216</v>
      </c>
    </row>
    <row r="63" spans="1:10" ht="30.75" thickBot="1" x14ac:dyDescent="0.3">
      <c r="A63" s="23" t="s">
        <v>115</v>
      </c>
      <c r="B63" s="22" t="s">
        <v>217</v>
      </c>
    </row>
    <row r="64" spans="1:10" ht="15.75" thickBot="1" x14ac:dyDescent="0.3">
      <c r="A64" s="23" t="s">
        <v>116</v>
      </c>
      <c r="B64" s="22" t="s">
        <v>216</v>
      </c>
    </row>
    <row r="65" spans="1:2" ht="30.75" thickBot="1" x14ac:dyDescent="0.3">
      <c r="A65" s="23" t="s">
        <v>117</v>
      </c>
      <c r="B65" s="22" t="s">
        <v>218</v>
      </c>
    </row>
    <row r="66" spans="1:2" ht="15.75" thickBot="1" x14ac:dyDescent="0.3">
      <c r="A66" s="23" t="s">
        <v>219</v>
      </c>
      <c r="B66" s="22" t="s">
        <v>216</v>
      </c>
    </row>
    <row r="67" spans="1:2" ht="15.75" thickBot="1" x14ac:dyDescent="0.3">
      <c r="A67" s="23" t="s">
        <v>220</v>
      </c>
      <c r="B67" s="22" t="s">
        <v>221</v>
      </c>
    </row>
    <row r="68" spans="1:2" x14ac:dyDescent="0.25">
      <c r="A68" s="24"/>
    </row>
  </sheetData>
  <mergeCells count="7">
    <mergeCell ref="A2:J2"/>
    <mergeCell ref="A3:A4"/>
    <mergeCell ref="B3:B4"/>
    <mergeCell ref="C3:C4"/>
    <mergeCell ref="D3:D4"/>
    <mergeCell ref="E3:G3"/>
    <mergeCell ref="H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20"/>
  <sheetViews>
    <sheetView topLeftCell="G1" workbookViewId="0">
      <selection activeCell="E61" sqref="E61"/>
    </sheetView>
  </sheetViews>
  <sheetFormatPr defaultRowHeight="15" x14ac:dyDescent="0.25"/>
  <cols>
    <col min="2" max="2" width="9.7109375" customWidth="1"/>
    <col min="3" max="3" width="13.7109375" customWidth="1"/>
    <col min="4" max="4" width="24.85546875" customWidth="1"/>
    <col min="5" max="5" width="19" customWidth="1"/>
    <col min="6" max="6" width="12.140625" customWidth="1"/>
    <col min="7" max="7" width="16.5703125" customWidth="1"/>
    <col min="8" max="8" width="14.5703125" customWidth="1"/>
    <col min="9" max="9" width="26.7109375" customWidth="1"/>
    <col min="10" max="10" width="15.85546875" customWidth="1"/>
    <col min="11" max="11" width="26.42578125" customWidth="1"/>
  </cols>
  <sheetData>
    <row r="1" spans="1:10" ht="18.75" x14ac:dyDescent="0.3">
      <c r="A1" s="55" t="s">
        <v>222</v>
      </c>
      <c r="B1" s="55"/>
      <c r="C1" s="55"/>
      <c r="D1" s="55"/>
      <c r="E1" s="55"/>
      <c r="F1" s="55"/>
      <c r="G1" s="55"/>
      <c r="H1" s="55"/>
      <c r="I1" s="55"/>
    </row>
    <row r="2" spans="1:10" ht="18.75" x14ac:dyDescent="0.3">
      <c r="A2" s="28"/>
      <c r="B2" s="28"/>
      <c r="C2" s="28"/>
      <c r="D2" s="28"/>
      <c r="E2" s="28"/>
      <c r="F2" s="28"/>
      <c r="G2" s="28"/>
      <c r="H2" s="28"/>
      <c r="I2" s="28"/>
    </row>
    <row r="3" spans="1:10" ht="18.75" x14ac:dyDescent="0.3">
      <c r="A3" t="s">
        <v>226</v>
      </c>
      <c r="B3" s="56" t="s">
        <v>227</v>
      </c>
      <c r="C3" s="56"/>
      <c r="D3" s="56"/>
      <c r="E3" s="28"/>
      <c r="F3" s="28"/>
      <c r="G3" s="28"/>
      <c r="H3" s="28"/>
      <c r="I3" s="28"/>
      <c r="J3" s="28"/>
    </row>
    <row r="5" spans="1:10" x14ac:dyDescent="0.25">
      <c r="A5" s="57" t="s">
        <v>42</v>
      </c>
      <c r="B5" s="57" t="s">
        <v>232</v>
      </c>
      <c r="C5" s="57" t="s">
        <v>224</v>
      </c>
      <c r="D5" s="57" t="s">
        <v>223</v>
      </c>
      <c r="E5" s="54" t="s">
        <v>225</v>
      </c>
      <c r="F5" s="54"/>
      <c r="G5" s="54"/>
      <c r="H5" s="54"/>
      <c r="I5" s="54"/>
      <c r="J5" s="54"/>
    </row>
    <row r="6" spans="1:10" x14ac:dyDescent="0.25">
      <c r="A6" s="57"/>
      <c r="B6" s="57"/>
      <c r="C6" s="57"/>
      <c r="D6" s="57"/>
      <c r="E6" s="7" t="s">
        <v>237</v>
      </c>
      <c r="F6" s="7" t="s">
        <v>228</v>
      </c>
      <c r="G6" s="7" t="s">
        <v>229</v>
      </c>
      <c r="H6" s="7" t="s">
        <v>230</v>
      </c>
      <c r="I6" s="7" t="s">
        <v>231</v>
      </c>
      <c r="J6" s="7"/>
    </row>
    <row r="7" spans="1:10" x14ac:dyDescent="0.25">
      <c r="A7" s="31">
        <v>1</v>
      </c>
      <c r="B7" s="7" t="s">
        <v>233</v>
      </c>
      <c r="C7" s="32">
        <v>15150342</v>
      </c>
      <c r="D7" s="32" t="s">
        <v>121</v>
      </c>
      <c r="E7" s="7"/>
      <c r="F7" s="7"/>
      <c r="G7" s="7"/>
      <c r="H7" s="7"/>
      <c r="I7" s="7"/>
      <c r="J7" s="7"/>
    </row>
    <row r="8" spans="1:10" x14ac:dyDescent="0.25">
      <c r="A8" s="31">
        <v>2</v>
      </c>
      <c r="B8" s="7" t="s">
        <v>233</v>
      </c>
      <c r="C8" s="32">
        <v>14151416</v>
      </c>
      <c r="D8" s="32" t="s">
        <v>130</v>
      </c>
      <c r="E8" s="7"/>
      <c r="F8" s="7"/>
      <c r="G8" s="7"/>
      <c r="H8" s="7"/>
      <c r="I8" s="7"/>
      <c r="J8" s="7"/>
    </row>
    <row r="9" spans="1:10" x14ac:dyDescent="0.25">
      <c r="A9" s="31">
        <v>3</v>
      </c>
      <c r="B9" s="7" t="s">
        <v>233</v>
      </c>
      <c r="C9" s="32">
        <v>15150412</v>
      </c>
      <c r="D9" s="32" t="s">
        <v>152</v>
      </c>
      <c r="E9" s="7"/>
      <c r="F9" s="7"/>
      <c r="G9" s="7"/>
      <c r="H9" s="7"/>
      <c r="I9" s="7"/>
      <c r="J9" s="7"/>
    </row>
    <row r="10" spans="1:10" x14ac:dyDescent="0.25">
      <c r="A10" s="31">
        <v>4</v>
      </c>
      <c r="B10" s="7" t="s">
        <v>233</v>
      </c>
      <c r="C10" s="32">
        <v>15150390</v>
      </c>
      <c r="D10" s="32" t="s">
        <v>154</v>
      </c>
      <c r="E10" s="7"/>
      <c r="F10" s="7"/>
      <c r="G10" s="7"/>
      <c r="H10" s="7"/>
      <c r="I10" s="7"/>
      <c r="J10" s="7"/>
    </row>
    <row r="11" spans="1:10" x14ac:dyDescent="0.25">
      <c r="A11" s="31">
        <v>5</v>
      </c>
      <c r="B11" s="7" t="s">
        <v>233</v>
      </c>
      <c r="C11" s="32">
        <v>15150413</v>
      </c>
      <c r="D11" s="32" t="s">
        <v>156</v>
      </c>
      <c r="E11" s="7"/>
      <c r="F11" s="7"/>
      <c r="G11" s="7"/>
      <c r="H11" s="7"/>
      <c r="I11" s="7"/>
      <c r="J11" s="7"/>
    </row>
    <row r="12" spans="1:10" ht="15" customHeight="1" x14ac:dyDescent="0.25">
      <c r="A12" s="31">
        <v>6</v>
      </c>
      <c r="B12" s="7" t="s">
        <v>233</v>
      </c>
      <c r="C12" s="32">
        <v>15150452</v>
      </c>
      <c r="D12" s="32" t="s">
        <v>157</v>
      </c>
      <c r="E12" s="7"/>
      <c r="F12" s="7"/>
      <c r="G12" s="7"/>
      <c r="H12" s="7"/>
      <c r="I12" s="7"/>
      <c r="J12" s="7"/>
    </row>
    <row r="13" spans="1:10" x14ac:dyDescent="0.25">
      <c r="A13" s="31">
        <v>7</v>
      </c>
      <c r="B13" s="7" t="s">
        <v>233</v>
      </c>
      <c r="C13" s="32">
        <v>15150371</v>
      </c>
      <c r="D13" s="32" t="s">
        <v>55</v>
      </c>
      <c r="E13" s="7"/>
      <c r="F13" s="7"/>
      <c r="G13" s="7"/>
      <c r="H13" s="7"/>
      <c r="I13" s="7"/>
      <c r="J13" s="7"/>
    </row>
    <row r="14" spans="1:10" x14ac:dyDescent="0.25">
      <c r="A14" s="31">
        <v>8</v>
      </c>
      <c r="B14" s="7" t="s">
        <v>233</v>
      </c>
      <c r="C14" s="32">
        <v>15150395</v>
      </c>
      <c r="D14" s="32" t="s">
        <v>83</v>
      </c>
      <c r="E14" s="7"/>
      <c r="F14" s="7"/>
      <c r="G14" s="7"/>
      <c r="H14" s="7"/>
      <c r="I14" s="7"/>
      <c r="J14" s="7"/>
    </row>
    <row r="15" spans="1:10" x14ac:dyDescent="0.25">
      <c r="A15" s="31">
        <v>9</v>
      </c>
      <c r="B15" s="7" t="s">
        <v>233</v>
      </c>
      <c r="C15" s="32">
        <v>15150415</v>
      </c>
      <c r="D15" s="32" t="s">
        <v>161</v>
      </c>
      <c r="E15" s="7"/>
      <c r="F15" s="7"/>
      <c r="G15" s="7"/>
      <c r="H15" s="7"/>
      <c r="I15" s="7"/>
      <c r="J15" s="7"/>
    </row>
    <row r="16" spans="1:10" x14ac:dyDescent="0.25">
      <c r="A16" s="31">
        <v>10</v>
      </c>
      <c r="B16" s="7" t="s">
        <v>233</v>
      </c>
      <c r="C16" s="32">
        <v>15150355</v>
      </c>
      <c r="D16" s="32" t="s">
        <v>162</v>
      </c>
      <c r="E16" s="7"/>
      <c r="F16" s="7"/>
      <c r="G16" s="7"/>
      <c r="H16" s="7"/>
      <c r="I16" s="7"/>
      <c r="J16" s="7"/>
    </row>
    <row r="17" spans="1:10" x14ac:dyDescent="0.25">
      <c r="A17" s="31">
        <v>11</v>
      </c>
      <c r="B17" s="7" t="s">
        <v>233</v>
      </c>
      <c r="C17" s="32">
        <v>15150385</v>
      </c>
      <c r="D17" s="32" t="s">
        <v>163</v>
      </c>
      <c r="E17" s="7"/>
      <c r="F17" s="7"/>
      <c r="G17" s="7"/>
      <c r="H17" s="7"/>
      <c r="I17" s="7"/>
      <c r="J17" s="7"/>
    </row>
    <row r="18" spans="1:10" x14ac:dyDescent="0.25">
      <c r="A18" s="31">
        <v>12</v>
      </c>
      <c r="B18" s="7" t="s">
        <v>233</v>
      </c>
      <c r="C18" s="32">
        <v>15150393</v>
      </c>
      <c r="D18" s="32" t="s">
        <v>61</v>
      </c>
      <c r="E18" s="7"/>
      <c r="F18" s="7"/>
      <c r="G18" s="7"/>
      <c r="H18" s="7"/>
      <c r="I18" s="7"/>
      <c r="J18" s="7"/>
    </row>
    <row r="19" spans="1:10" x14ac:dyDescent="0.25">
      <c r="A19" s="31">
        <v>13</v>
      </c>
      <c r="B19" s="7" t="s">
        <v>233</v>
      </c>
      <c r="C19" s="32">
        <v>15150330</v>
      </c>
      <c r="D19" s="32" t="s">
        <v>166</v>
      </c>
      <c r="E19" s="7"/>
      <c r="F19" s="7"/>
      <c r="G19" s="7"/>
      <c r="H19" s="7"/>
      <c r="I19" s="7"/>
      <c r="J19" s="7"/>
    </row>
    <row r="20" spans="1:10" x14ac:dyDescent="0.25">
      <c r="A20" s="31">
        <v>14</v>
      </c>
      <c r="B20" s="7" t="s">
        <v>233</v>
      </c>
      <c r="C20" s="32">
        <v>15150332</v>
      </c>
      <c r="D20" s="32" t="s">
        <v>168</v>
      </c>
      <c r="E20" s="7"/>
      <c r="F20" s="7"/>
      <c r="G20" s="7"/>
      <c r="H20" s="7"/>
      <c r="I20" s="7"/>
      <c r="J20" s="7"/>
    </row>
    <row r="21" spans="1:10" x14ac:dyDescent="0.25">
      <c r="A21" s="31">
        <v>15</v>
      </c>
      <c r="B21" s="7" t="s">
        <v>233</v>
      </c>
      <c r="C21" s="32">
        <v>15150333</v>
      </c>
      <c r="D21" s="32" t="s">
        <v>169</v>
      </c>
      <c r="E21" s="7"/>
      <c r="F21" s="7"/>
      <c r="G21" s="7"/>
      <c r="H21" s="7"/>
      <c r="I21" s="7"/>
      <c r="J21" s="7"/>
    </row>
    <row r="22" spans="1:10" x14ac:dyDescent="0.25">
      <c r="A22" s="31">
        <v>16</v>
      </c>
      <c r="B22" s="7" t="s">
        <v>233</v>
      </c>
      <c r="C22" s="32">
        <v>15150334</v>
      </c>
      <c r="D22" s="32" t="s">
        <v>170</v>
      </c>
      <c r="E22" s="7"/>
      <c r="F22" s="7"/>
      <c r="G22" s="7"/>
      <c r="H22" s="7"/>
      <c r="I22" s="7"/>
      <c r="J22" s="7"/>
    </row>
    <row r="23" spans="1:10" ht="15.75" customHeight="1" x14ac:dyDescent="0.25">
      <c r="A23" s="31">
        <v>17</v>
      </c>
      <c r="B23" s="7" t="s">
        <v>233</v>
      </c>
      <c r="C23" s="32">
        <v>15150362</v>
      </c>
      <c r="D23" s="32" t="s">
        <v>172</v>
      </c>
      <c r="E23" s="7"/>
      <c r="F23" s="7"/>
      <c r="G23" s="7"/>
      <c r="H23" s="7"/>
      <c r="I23" s="7"/>
      <c r="J23" s="7"/>
    </row>
    <row r="24" spans="1:10" x14ac:dyDescent="0.25">
      <c r="A24" s="31">
        <v>19</v>
      </c>
      <c r="B24" s="7" t="s">
        <v>233</v>
      </c>
      <c r="C24" s="32">
        <v>14150276</v>
      </c>
      <c r="D24" s="32" t="s">
        <v>173</v>
      </c>
      <c r="E24" s="7"/>
      <c r="F24" s="7"/>
      <c r="G24" s="7"/>
      <c r="H24" s="7"/>
      <c r="I24" s="7"/>
      <c r="J24" s="7"/>
    </row>
    <row r="25" spans="1:10" x14ac:dyDescent="0.25">
      <c r="A25" s="31">
        <v>20</v>
      </c>
      <c r="B25" s="7" t="s">
        <v>233</v>
      </c>
      <c r="C25" s="32">
        <v>14151497</v>
      </c>
      <c r="D25" s="32" t="s">
        <v>175</v>
      </c>
      <c r="E25" s="7"/>
      <c r="F25" s="7"/>
      <c r="G25" s="7"/>
      <c r="H25" s="7"/>
      <c r="I25" s="7"/>
      <c r="J25" s="7"/>
    </row>
    <row r="26" spans="1:10" x14ac:dyDescent="0.25">
      <c r="A26" s="31">
        <v>21</v>
      </c>
      <c r="B26" s="7" t="s">
        <v>233</v>
      </c>
      <c r="C26" s="32">
        <v>15150392</v>
      </c>
      <c r="D26" s="32" t="s">
        <v>177</v>
      </c>
      <c r="E26" s="7"/>
      <c r="F26" s="7"/>
      <c r="G26" s="7"/>
      <c r="H26" s="7"/>
      <c r="I26" s="7"/>
      <c r="J26" s="7"/>
    </row>
    <row r="27" spans="1:10" x14ac:dyDescent="0.25">
      <c r="A27" s="31">
        <v>22</v>
      </c>
      <c r="B27" s="7" t="s">
        <v>233</v>
      </c>
      <c r="C27" s="32">
        <v>15150366</v>
      </c>
      <c r="D27" s="32" t="s">
        <v>178</v>
      </c>
      <c r="E27" s="7"/>
      <c r="F27" s="7"/>
      <c r="G27" s="7"/>
      <c r="H27" s="7"/>
      <c r="I27" s="7"/>
      <c r="J27" s="7"/>
    </row>
    <row r="28" spans="1:10" x14ac:dyDescent="0.25">
      <c r="A28" s="31">
        <v>23</v>
      </c>
      <c r="B28" s="7" t="s">
        <v>233</v>
      </c>
      <c r="C28" s="32">
        <v>15150329</v>
      </c>
      <c r="D28" s="32" t="s">
        <v>57</v>
      </c>
      <c r="E28" s="7"/>
      <c r="F28" s="7"/>
      <c r="G28" s="7"/>
      <c r="H28" s="7"/>
      <c r="I28" s="7"/>
      <c r="J28" s="7"/>
    </row>
    <row r="29" spans="1:10" x14ac:dyDescent="0.25">
      <c r="A29" s="31">
        <v>24</v>
      </c>
      <c r="B29" s="7" t="s">
        <v>233</v>
      </c>
      <c r="C29" s="32">
        <v>15150337</v>
      </c>
      <c r="D29" s="32" t="s">
        <v>181</v>
      </c>
      <c r="E29" s="7"/>
      <c r="F29" s="7"/>
      <c r="G29" s="7"/>
      <c r="H29" s="7"/>
      <c r="I29" s="7"/>
      <c r="J29" s="7"/>
    </row>
    <row r="30" spans="1:10" x14ac:dyDescent="0.25">
      <c r="A30" s="31">
        <v>25</v>
      </c>
      <c r="B30" s="7" t="s">
        <v>233</v>
      </c>
      <c r="C30" s="32">
        <v>15150348</v>
      </c>
      <c r="D30" s="32" t="s">
        <v>183</v>
      </c>
      <c r="E30" s="7"/>
      <c r="F30" s="7"/>
      <c r="G30" s="7"/>
      <c r="H30" s="7"/>
      <c r="I30" s="7"/>
      <c r="J30" s="7"/>
    </row>
    <row r="31" spans="1:10" x14ac:dyDescent="0.25">
      <c r="A31" s="31">
        <v>26</v>
      </c>
      <c r="B31" s="7" t="s">
        <v>233</v>
      </c>
      <c r="C31" s="32">
        <v>15150401</v>
      </c>
      <c r="D31" s="32" t="s">
        <v>135</v>
      </c>
      <c r="E31" s="7"/>
      <c r="F31" s="7"/>
      <c r="G31" s="7"/>
      <c r="H31" s="7"/>
      <c r="I31" s="7"/>
      <c r="J31" s="7"/>
    </row>
    <row r="32" spans="1:10" x14ac:dyDescent="0.25">
      <c r="A32" s="33">
        <v>27</v>
      </c>
      <c r="B32" s="7" t="s">
        <v>233</v>
      </c>
      <c r="C32" s="32">
        <v>15150339</v>
      </c>
      <c r="D32" s="32" t="s">
        <v>72</v>
      </c>
      <c r="E32" s="7"/>
      <c r="F32" s="7"/>
      <c r="G32" s="7"/>
      <c r="H32" s="7"/>
      <c r="I32" s="7"/>
      <c r="J32" s="7"/>
    </row>
    <row r="33" spans="1:10" ht="15.75" customHeight="1" x14ac:dyDescent="0.25">
      <c r="A33" s="31">
        <v>28</v>
      </c>
      <c r="B33" s="7" t="s">
        <v>233</v>
      </c>
      <c r="C33" s="32">
        <v>15150409</v>
      </c>
      <c r="D33" s="32" t="s">
        <v>141</v>
      </c>
      <c r="E33" s="7"/>
      <c r="F33" s="7"/>
      <c r="G33" s="7"/>
      <c r="H33" s="7"/>
      <c r="I33" s="7"/>
      <c r="J33" s="7"/>
    </row>
    <row r="34" spans="1:10" x14ac:dyDescent="0.25">
      <c r="A34" s="31">
        <v>29</v>
      </c>
      <c r="B34" s="7" t="s">
        <v>233</v>
      </c>
      <c r="C34" s="32">
        <v>15150340</v>
      </c>
      <c r="D34" s="32" t="s">
        <v>127</v>
      </c>
      <c r="E34" s="7"/>
      <c r="F34" s="7"/>
      <c r="G34" s="7"/>
      <c r="H34" s="7"/>
      <c r="I34" s="7"/>
      <c r="J34" s="7"/>
    </row>
    <row r="35" spans="1:10" x14ac:dyDescent="0.25">
      <c r="A35" s="31">
        <v>30</v>
      </c>
      <c r="B35" s="7" t="s">
        <v>233</v>
      </c>
      <c r="C35" s="32">
        <v>15150391</v>
      </c>
      <c r="D35" s="32" t="s">
        <v>186</v>
      </c>
      <c r="E35" s="7"/>
      <c r="F35" s="7"/>
      <c r="G35" s="7"/>
      <c r="H35" s="7"/>
      <c r="I35" s="7"/>
      <c r="J35" s="7"/>
    </row>
    <row r="36" spans="1:10" x14ac:dyDescent="0.25">
      <c r="A36" s="31">
        <v>31</v>
      </c>
      <c r="B36" s="7" t="s">
        <v>233</v>
      </c>
      <c r="C36" s="32">
        <v>14150028</v>
      </c>
      <c r="D36" s="32" t="s">
        <v>188</v>
      </c>
      <c r="E36" s="7"/>
      <c r="F36" s="7"/>
      <c r="G36" s="7"/>
      <c r="H36" s="7"/>
      <c r="I36" s="7"/>
      <c r="J36" s="7"/>
    </row>
    <row r="37" spans="1:10" x14ac:dyDescent="0.25">
      <c r="A37" s="31">
        <v>32</v>
      </c>
      <c r="B37" s="7" t="s">
        <v>233</v>
      </c>
      <c r="C37" s="32">
        <v>15150349</v>
      </c>
      <c r="D37" s="32" t="s">
        <v>96</v>
      </c>
      <c r="E37" s="7"/>
      <c r="F37" s="7"/>
      <c r="G37" s="7"/>
      <c r="H37" s="7"/>
      <c r="I37" s="7"/>
      <c r="J37" s="7"/>
    </row>
    <row r="38" spans="1:10" x14ac:dyDescent="0.25">
      <c r="A38" s="31">
        <v>33</v>
      </c>
      <c r="B38" s="7" t="s">
        <v>233</v>
      </c>
      <c r="C38" s="32">
        <v>15150360</v>
      </c>
      <c r="D38" s="32" t="s">
        <v>190</v>
      </c>
      <c r="E38" s="7"/>
      <c r="F38" s="7"/>
      <c r="G38" s="7"/>
      <c r="H38" s="7"/>
      <c r="I38" s="7"/>
      <c r="J38" s="7"/>
    </row>
    <row r="39" spans="1:10" x14ac:dyDescent="0.25">
      <c r="A39" s="31">
        <v>34</v>
      </c>
      <c r="B39" s="7" t="s">
        <v>233</v>
      </c>
      <c r="C39" s="32">
        <v>15150373</v>
      </c>
      <c r="D39" s="32" t="s">
        <v>85</v>
      </c>
      <c r="E39" s="7"/>
      <c r="F39" s="7"/>
      <c r="G39" s="7"/>
      <c r="H39" s="7"/>
      <c r="I39" s="7"/>
      <c r="J39" s="7"/>
    </row>
    <row r="40" spans="1:10" x14ac:dyDescent="0.25">
      <c r="A40" s="31">
        <v>35</v>
      </c>
      <c r="B40" s="7" t="s">
        <v>233</v>
      </c>
      <c r="C40" s="32">
        <v>15150384</v>
      </c>
      <c r="D40" s="32" t="s">
        <v>191</v>
      </c>
      <c r="E40" s="7"/>
      <c r="F40" s="7"/>
      <c r="G40" s="7"/>
      <c r="H40" s="7"/>
      <c r="I40" s="7"/>
      <c r="J40" s="7"/>
    </row>
    <row r="41" spans="1:10" x14ac:dyDescent="0.25">
      <c r="A41" s="31">
        <v>36</v>
      </c>
      <c r="B41" s="7" t="s">
        <v>233</v>
      </c>
      <c r="C41" s="32">
        <v>15150350</v>
      </c>
      <c r="D41" s="32" t="s">
        <v>133</v>
      </c>
      <c r="E41" s="7"/>
      <c r="F41" s="7"/>
      <c r="G41" s="7"/>
      <c r="H41" s="7"/>
      <c r="I41" s="7"/>
      <c r="J41" s="7"/>
    </row>
    <row r="42" spans="1:10" x14ac:dyDescent="0.25">
      <c r="A42" s="31">
        <v>37</v>
      </c>
      <c r="B42" s="7" t="s">
        <v>233</v>
      </c>
      <c r="C42" s="32">
        <v>15150405</v>
      </c>
      <c r="D42" s="32" t="s">
        <v>70</v>
      </c>
      <c r="E42" s="7"/>
      <c r="F42" s="7"/>
      <c r="G42" s="7"/>
      <c r="H42" s="7"/>
      <c r="I42" s="7"/>
      <c r="J42" s="7"/>
    </row>
    <row r="43" spans="1:10" ht="15.75" customHeight="1" x14ac:dyDescent="0.25">
      <c r="A43" s="31">
        <v>38</v>
      </c>
      <c r="B43" s="7" t="s">
        <v>233</v>
      </c>
      <c r="C43" s="32">
        <v>15150375</v>
      </c>
      <c r="D43" s="32" t="s">
        <v>132</v>
      </c>
      <c r="E43" s="7"/>
      <c r="F43" s="7"/>
      <c r="G43" s="7"/>
      <c r="H43" s="7"/>
      <c r="I43" s="7"/>
      <c r="J43" s="7"/>
    </row>
    <row r="44" spans="1:10" x14ac:dyDescent="0.25">
      <c r="A44" s="31">
        <v>39</v>
      </c>
      <c r="B44" s="7" t="s">
        <v>233</v>
      </c>
      <c r="C44" s="32">
        <v>15150419</v>
      </c>
      <c r="D44" s="32" t="s">
        <v>193</v>
      </c>
      <c r="E44" s="7"/>
      <c r="F44" s="7"/>
      <c r="G44" s="7"/>
      <c r="H44" s="7"/>
      <c r="I44" s="7"/>
      <c r="J44" s="7"/>
    </row>
    <row r="45" spans="1:10" x14ac:dyDescent="0.25">
      <c r="A45" s="31">
        <v>40</v>
      </c>
      <c r="B45" s="7" t="s">
        <v>233</v>
      </c>
      <c r="C45" s="32">
        <v>15150381</v>
      </c>
      <c r="D45" s="32" t="s">
        <v>194</v>
      </c>
      <c r="E45" s="7"/>
      <c r="F45" s="7"/>
      <c r="G45" s="7"/>
      <c r="H45" s="7"/>
      <c r="I45" s="7"/>
      <c r="J45" s="7"/>
    </row>
    <row r="46" spans="1:10" ht="15.75" customHeight="1" x14ac:dyDescent="0.25">
      <c r="A46" s="31">
        <v>41</v>
      </c>
      <c r="B46" s="7" t="s">
        <v>233</v>
      </c>
      <c r="C46" s="32">
        <v>15150423</v>
      </c>
      <c r="D46" s="32" t="s">
        <v>196</v>
      </c>
      <c r="E46" s="7"/>
      <c r="F46" s="7"/>
      <c r="G46" s="7"/>
      <c r="H46" s="7"/>
      <c r="I46" s="7"/>
      <c r="J46" s="7"/>
    </row>
    <row r="47" spans="1:10" x14ac:dyDescent="0.25">
      <c r="A47" s="31">
        <v>42</v>
      </c>
      <c r="B47" s="7" t="s">
        <v>233</v>
      </c>
      <c r="C47" s="32">
        <v>15150376</v>
      </c>
      <c r="D47" s="32" t="s">
        <v>197</v>
      </c>
      <c r="E47" s="7"/>
      <c r="F47" s="7"/>
      <c r="G47" s="7"/>
      <c r="H47" s="7"/>
      <c r="I47" s="7"/>
      <c r="J47" s="7"/>
    </row>
    <row r="48" spans="1:10" x14ac:dyDescent="0.25">
      <c r="A48" s="31">
        <v>43</v>
      </c>
      <c r="B48" s="7" t="s">
        <v>233</v>
      </c>
      <c r="C48" s="32">
        <v>15150365</v>
      </c>
      <c r="D48" s="32" t="s">
        <v>198</v>
      </c>
      <c r="E48" s="7"/>
      <c r="F48" s="7"/>
      <c r="G48" s="7"/>
      <c r="H48" s="7"/>
      <c r="I48" s="7"/>
      <c r="J48" s="7"/>
    </row>
    <row r="49" spans="1:10" x14ac:dyDescent="0.25">
      <c r="A49" s="31">
        <v>44</v>
      </c>
      <c r="B49" s="7" t="s">
        <v>233</v>
      </c>
      <c r="C49" s="32">
        <v>15150351</v>
      </c>
      <c r="D49" s="32" t="s">
        <v>129</v>
      </c>
      <c r="E49" s="7"/>
      <c r="F49" s="7"/>
      <c r="G49" s="7"/>
      <c r="H49" s="7"/>
      <c r="I49" s="7"/>
      <c r="J49" s="7"/>
    </row>
    <row r="50" spans="1:10" x14ac:dyDescent="0.25">
      <c r="A50" s="31">
        <v>45</v>
      </c>
      <c r="B50" s="7" t="s">
        <v>233</v>
      </c>
      <c r="C50" s="32">
        <v>15150356</v>
      </c>
      <c r="D50" s="32" t="s">
        <v>131</v>
      </c>
      <c r="E50" s="7"/>
      <c r="F50" s="7"/>
      <c r="G50" s="7"/>
      <c r="H50" s="7"/>
      <c r="I50" s="7"/>
      <c r="J50" s="7"/>
    </row>
    <row r="51" spans="1:10" x14ac:dyDescent="0.25">
      <c r="A51" s="31">
        <v>47</v>
      </c>
      <c r="B51" s="7" t="s">
        <v>233</v>
      </c>
      <c r="C51" s="32">
        <v>15150398</v>
      </c>
      <c r="D51" s="32" t="s">
        <v>71</v>
      </c>
      <c r="E51" s="7"/>
      <c r="F51" s="7"/>
      <c r="G51" s="7"/>
      <c r="H51" s="7"/>
      <c r="I51" s="7"/>
      <c r="J51" s="7"/>
    </row>
    <row r="52" spans="1:10" x14ac:dyDescent="0.25">
      <c r="A52" s="31">
        <v>48</v>
      </c>
      <c r="B52" s="7" t="s">
        <v>233</v>
      </c>
      <c r="C52" s="32">
        <v>15150416</v>
      </c>
      <c r="D52" s="32" t="s">
        <v>202</v>
      </c>
      <c r="E52" s="7"/>
      <c r="F52" s="7"/>
      <c r="G52" s="7"/>
      <c r="H52" s="7"/>
      <c r="I52" s="7"/>
      <c r="J52" s="7"/>
    </row>
    <row r="53" spans="1:10" x14ac:dyDescent="0.25">
      <c r="A53" s="31">
        <v>49</v>
      </c>
      <c r="B53" s="7" t="s">
        <v>233</v>
      </c>
      <c r="C53" s="32">
        <v>15150387</v>
      </c>
      <c r="D53" s="32" t="s">
        <v>69</v>
      </c>
      <c r="E53" s="7"/>
      <c r="F53" s="7"/>
      <c r="G53" s="7"/>
      <c r="H53" s="7"/>
      <c r="I53" s="7"/>
      <c r="J53" s="7"/>
    </row>
    <row r="54" spans="1:10" ht="15.75" customHeight="1" x14ac:dyDescent="0.25">
      <c r="A54" s="31">
        <v>50</v>
      </c>
      <c r="B54" s="7" t="s">
        <v>233</v>
      </c>
      <c r="C54" s="32">
        <v>15150359</v>
      </c>
      <c r="D54" s="32" t="s">
        <v>205</v>
      </c>
      <c r="E54" s="7"/>
      <c r="F54" s="7"/>
      <c r="G54" s="7"/>
      <c r="H54" s="7"/>
      <c r="I54" s="7"/>
      <c r="J54" s="7"/>
    </row>
    <row r="55" spans="1:10" x14ac:dyDescent="0.25">
      <c r="A55" s="31">
        <v>51</v>
      </c>
      <c r="B55" s="7" t="s">
        <v>233</v>
      </c>
      <c r="C55" s="32">
        <v>15150406</v>
      </c>
      <c r="D55" s="32" t="s">
        <v>207</v>
      </c>
      <c r="E55" s="7"/>
      <c r="F55" s="7"/>
      <c r="G55" s="7"/>
      <c r="H55" s="7"/>
      <c r="I55" s="7"/>
      <c r="J55" s="7"/>
    </row>
    <row r="56" spans="1:10" x14ac:dyDescent="0.25">
      <c r="A56" s="31">
        <v>52</v>
      </c>
      <c r="B56" s="7" t="s">
        <v>233</v>
      </c>
      <c r="C56" s="32">
        <v>15150058</v>
      </c>
      <c r="D56" s="32" t="s">
        <v>208</v>
      </c>
      <c r="E56" s="7"/>
      <c r="F56" s="7"/>
      <c r="G56" s="7"/>
      <c r="H56" s="7"/>
      <c r="I56" s="7"/>
      <c r="J56" s="7"/>
    </row>
    <row r="57" spans="1:10" x14ac:dyDescent="0.25">
      <c r="A57" s="31">
        <v>53</v>
      </c>
      <c r="B57" s="7" t="s">
        <v>233</v>
      </c>
      <c r="C57" s="32">
        <v>15150374</v>
      </c>
      <c r="D57" s="32" t="s">
        <v>209</v>
      </c>
      <c r="E57" s="7"/>
      <c r="F57" s="7"/>
      <c r="G57" s="7"/>
      <c r="H57" s="7"/>
      <c r="I57" s="7"/>
      <c r="J57" s="7"/>
    </row>
    <row r="58" spans="1:10" x14ac:dyDescent="0.25">
      <c r="A58" s="31">
        <v>54</v>
      </c>
      <c r="B58" s="7" t="s">
        <v>233</v>
      </c>
      <c r="C58" s="32">
        <v>15150397</v>
      </c>
      <c r="D58" s="32" t="s">
        <v>211</v>
      </c>
      <c r="E58" s="7"/>
      <c r="F58" s="7"/>
      <c r="G58" s="7"/>
      <c r="H58" s="7"/>
      <c r="I58" s="7"/>
      <c r="J58" s="7"/>
    </row>
    <row r="59" spans="1:10" x14ac:dyDescent="0.25">
      <c r="A59" s="31">
        <v>55</v>
      </c>
      <c r="B59" s="7" t="s">
        <v>233</v>
      </c>
      <c r="C59" s="32">
        <v>15150379</v>
      </c>
      <c r="D59" s="32" t="s">
        <v>212</v>
      </c>
      <c r="E59" s="7"/>
      <c r="F59" s="7"/>
      <c r="G59" s="7"/>
      <c r="H59" s="7"/>
      <c r="I59" s="7"/>
      <c r="J59" s="7"/>
    </row>
    <row r="60" spans="1:10" x14ac:dyDescent="0.25">
      <c r="A60" s="31">
        <v>56</v>
      </c>
      <c r="B60" s="7" t="s">
        <v>233</v>
      </c>
      <c r="C60" s="32">
        <v>15151680</v>
      </c>
      <c r="D60" s="32" t="s">
        <v>213</v>
      </c>
      <c r="E60" s="7"/>
      <c r="F60" s="7"/>
      <c r="G60" s="7"/>
      <c r="H60" s="7"/>
      <c r="I60" s="7"/>
      <c r="J60" s="7"/>
    </row>
    <row r="61" spans="1:10" x14ac:dyDescent="0.25">
      <c r="A61" s="42" t="s">
        <v>102</v>
      </c>
      <c r="B61" s="43"/>
      <c r="C61" s="43"/>
      <c r="D61" s="44"/>
      <c r="E61" s="7"/>
      <c r="F61" s="7"/>
      <c r="G61" s="7"/>
      <c r="H61" s="7"/>
      <c r="I61" s="7"/>
      <c r="J61" s="7"/>
    </row>
    <row r="62" spans="1:10" x14ac:dyDescent="0.25">
      <c r="B62" s="30"/>
    </row>
    <row r="63" spans="1:10" x14ac:dyDescent="0.25">
      <c r="A63" s="15" t="s">
        <v>234</v>
      </c>
      <c r="B63" s="41" t="s">
        <v>235</v>
      </c>
      <c r="C63" s="41"/>
      <c r="D63" s="41"/>
    </row>
    <row r="64" spans="1:10" x14ac:dyDescent="0.25">
      <c r="B64" s="30"/>
    </row>
    <row r="65" spans="1:11" x14ac:dyDescent="0.25">
      <c r="A65" s="57" t="s">
        <v>42</v>
      </c>
      <c r="B65" s="57" t="s">
        <v>232</v>
      </c>
      <c r="C65" s="57" t="s">
        <v>224</v>
      </c>
      <c r="D65" s="57" t="s">
        <v>223</v>
      </c>
      <c r="E65" s="54" t="s">
        <v>225</v>
      </c>
      <c r="F65" s="54"/>
      <c r="G65" s="54"/>
      <c r="H65" s="54"/>
      <c r="I65" s="54"/>
      <c r="J65" s="54"/>
      <c r="K65" s="7"/>
    </row>
    <row r="66" spans="1:11" x14ac:dyDescent="0.25">
      <c r="A66" s="57"/>
      <c r="B66" s="57"/>
      <c r="C66" s="57"/>
      <c r="D66" s="57"/>
      <c r="E66" s="7" t="s">
        <v>236</v>
      </c>
      <c r="F66" s="7" t="s">
        <v>238</v>
      </c>
      <c r="G66" s="7" t="s">
        <v>239</v>
      </c>
      <c r="H66" s="7" t="s">
        <v>240</v>
      </c>
      <c r="I66" s="7" t="s">
        <v>241</v>
      </c>
      <c r="J66" s="7" t="s">
        <v>242</v>
      </c>
      <c r="K66" s="34" t="s">
        <v>243</v>
      </c>
    </row>
    <row r="67" spans="1:11" x14ac:dyDescent="0.25">
      <c r="A67" s="31">
        <v>1</v>
      </c>
      <c r="B67" s="7" t="s">
        <v>233</v>
      </c>
      <c r="C67" s="32">
        <v>15150342</v>
      </c>
      <c r="D67" s="32" t="s">
        <v>121</v>
      </c>
      <c r="E67" s="7"/>
      <c r="F67" s="7"/>
      <c r="G67" s="7"/>
      <c r="H67" s="7"/>
      <c r="I67" s="7"/>
      <c r="J67" s="7"/>
      <c r="K67" s="7"/>
    </row>
    <row r="68" spans="1:11" x14ac:dyDescent="0.25">
      <c r="A68" s="31">
        <v>2</v>
      </c>
      <c r="B68" s="7" t="s">
        <v>233</v>
      </c>
      <c r="C68" s="32">
        <v>14151416</v>
      </c>
      <c r="D68" s="32" t="s">
        <v>130</v>
      </c>
      <c r="E68" s="7"/>
      <c r="F68" s="7"/>
      <c r="G68" s="7"/>
      <c r="H68" s="7"/>
      <c r="I68" s="7"/>
      <c r="J68" s="7"/>
      <c r="K68" s="7"/>
    </row>
    <row r="69" spans="1:11" x14ac:dyDescent="0.25">
      <c r="A69" s="31">
        <v>3</v>
      </c>
      <c r="B69" s="7" t="s">
        <v>233</v>
      </c>
      <c r="C69" s="32">
        <v>15150412</v>
      </c>
      <c r="D69" s="32" t="s">
        <v>152</v>
      </c>
      <c r="E69" s="7"/>
      <c r="F69" s="7"/>
      <c r="G69" s="7"/>
      <c r="H69" s="7"/>
      <c r="I69" s="7"/>
      <c r="J69" s="7"/>
      <c r="K69" s="7"/>
    </row>
    <row r="70" spans="1:11" x14ac:dyDescent="0.25">
      <c r="A70" s="31">
        <v>4</v>
      </c>
      <c r="B70" s="7" t="s">
        <v>233</v>
      </c>
      <c r="C70" s="32">
        <v>15150390</v>
      </c>
      <c r="D70" s="32" t="s">
        <v>154</v>
      </c>
      <c r="E70" s="7"/>
      <c r="F70" s="7"/>
      <c r="G70" s="7"/>
      <c r="H70" s="7"/>
      <c r="I70" s="7"/>
      <c r="J70" s="7"/>
      <c r="K70" s="7"/>
    </row>
    <row r="71" spans="1:11" x14ac:dyDescent="0.25">
      <c r="A71" s="31">
        <v>5</v>
      </c>
      <c r="B71" s="7" t="s">
        <v>233</v>
      </c>
      <c r="C71" s="32">
        <v>15150413</v>
      </c>
      <c r="D71" s="32" t="s">
        <v>156</v>
      </c>
      <c r="E71" s="7"/>
      <c r="F71" s="7"/>
      <c r="G71" s="7"/>
      <c r="H71" s="7"/>
      <c r="I71" s="7"/>
      <c r="J71" s="7"/>
      <c r="K71" s="7"/>
    </row>
    <row r="72" spans="1:11" x14ac:dyDescent="0.25">
      <c r="A72" s="31">
        <v>6</v>
      </c>
      <c r="B72" s="7" t="s">
        <v>233</v>
      </c>
      <c r="C72" s="32">
        <v>15150452</v>
      </c>
      <c r="D72" s="32" t="s">
        <v>157</v>
      </c>
      <c r="E72" s="7"/>
      <c r="F72" s="7"/>
      <c r="G72" s="7"/>
      <c r="H72" s="7"/>
      <c r="I72" s="7"/>
      <c r="J72" s="7"/>
      <c r="K72" s="7"/>
    </row>
    <row r="73" spans="1:11" x14ac:dyDescent="0.25">
      <c r="A73" s="31">
        <v>7</v>
      </c>
      <c r="B73" s="7" t="s">
        <v>233</v>
      </c>
      <c r="C73" s="32">
        <v>15150371</v>
      </c>
      <c r="D73" s="32" t="s">
        <v>55</v>
      </c>
      <c r="E73" s="7"/>
      <c r="F73" s="7"/>
      <c r="G73" s="7"/>
      <c r="H73" s="7"/>
      <c r="I73" s="7"/>
      <c r="J73" s="7"/>
      <c r="K73" s="7"/>
    </row>
    <row r="74" spans="1:11" x14ac:dyDescent="0.25">
      <c r="A74" s="31">
        <v>8</v>
      </c>
      <c r="B74" s="7" t="s">
        <v>233</v>
      </c>
      <c r="C74" s="32">
        <v>15150395</v>
      </c>
      <c r="D74" s="32" t="s">
        <v>83</v>
      </c>
      <c r="E74" s="7"/>
      <c r="F74" s="7"/>
      <c r="G74" s="7"/>
      <c r="H74" s="7"/>
      <c r="I74" s="7"/>
      <c r="J74" s="7"/>
      <c r="K74" s="7"/>
    </row>
    <row r="75" spans="1:11" x14ac:dyDescent="0.25">
      <c r="A75" s="31">
        <v>9</v>
      </c>
      <c r="B75" s="7" t="s">
        <v>233</v>
      </c>
      <c r="C75" s="32">
        <v>15150415</v>
      </c>
      <c r="D75" s="32" t="s">
        <v>161</v>
      </c>
      <c r="E75" s="7"/>
      <c r="F75" s="7"/>
      <c r="G75" s="7"/>
      <c r="H75" s="7"/>
      <c r="I75" s="7"/>
      <c r="J75" s="7"/>
      <c r="K75" s="7"/>
    </row>
    <row r="76" spans="1:11" x14ac:dyDescent="0.25">
      <c r="A76" s="31">
        <v>10</v>
      </c>
      <c r="B76" s="7" t="s">
        <v>233</v>
      </c>
      <c r="C76" s="32">
        <v>15150355</v>
      </c>
      <c r="D76" s="32" t="s">
        <v>162</v>
      </c>
      <c r="E76" s="7"/>
      <c r="F76" s="7"/>
      <c r="G76" s="7"/>
      <c r="H76" s="7"/>
      <c r="I76" s="7"/>
      <c r="J76" s="7"/>
      <c r="K76" s="7"/>
    </row>
    <row r="77" spans="1:11" x14ac:dyDescent="0.25">
      <c r="A77" s="31">
        <v>11</v>
      </c>
      <c r="B77" s="7" t="s">
        <v>233</v>
      </c>
      <c r="C77" s="32">
        <v>15150385</v>
      </c>
      <c r="D77" s="32" t="s">
        <v>163</v>
      </c>
      <c r="E77" s="7"/>
      <c r="F77" s="7"/>
      <c r="G77" s="7"/>
      <c r="H77" s="7"/>
      <c r="I77" s="7"/>
      <c r="J77" s="7"/>
      <c r="K77" s="7"/>
    </row>
    <row r="78" spans="1:11" x14ac:dyDescent="0.25">
      <c r="A78" s="31">
        <v>12</v>
      </c>
      <c r="B78" s="7" t="s">
        <v>233</v>
      </c>
      <c r="C78" s="32">
        <v>15150393</v>
      </c>
      <c r="D78" s="32" t="s">
        <v>61</v>
      </c>
      <c r="E78" s="7"/>
      <c r="F78" s="7"/>
      <c r="G78" s="7"/>
      <c r="H78" s="7"/>
      <c r="I78" s="7"/>
      <c r="J78" s="7"/>
      <c r="K78" s="7"/>
    </row>
    <row r="79" spans="1:11" x14ac:dyDescent="0.25">
      <c r="A79" s="31">
        <v>13</v>
      </c>
      <c r="B79" s="7" t="s">
        <v>233</v>
      </c>
      <c r="C79" s="32">
        <v>15150330</v>
      </c>
      <c r="D79" s="32" t="s">
        <v>166</v>
      </c>
      <c r="E79" s="7"/>
      <c r="F79" s="7"/>
      <c r="G79" s="7"/>
      <c r="H79" s="7"/>
      <c r="I79" s="7"/>
      <c r="J79" s="7"/>
      <c r="K79" s="7"/>
    </row>
    <row r="80" spans="1:11" x14ac:dyDescent="0.25">
      <c r="A80" s="31">
        <v>14</v>
      </c>
      <c r="B80" s="7" t="s">
        <v>233</v>
      </c>
      <c r="C80" s="32">
        <v>15150332</v>
      </c>
      <c r="D80" s="32" t="s">
        <v>168</v>
      </c>
      <c r="E80" s="7"/>
      <c r="F80" s="7"/>
      <c r="G80" s="7"/>
      <c r="H80" s="7"/>
      <c r="I80" s="7"/>
      <c r="J80" s="7"/>
      <c r="K80" s="7"/>
    </row>
    <row r="81" spans="1:11" x14ac:dyDescent="0.25">
      <c r="A81" s="31">
        <v>15</v>
      </c>
      <c r="B81" s="7" t="s">
        <v>233</v>
      </c>
      <c r="C81" s="32">
        <v>15150333</v>
      </c>
      <c r="D81" s="32" t="s">
        <v>169</v>
      </c>
      <c r="E81" s="7"/>
      <c r="F81" s="7"/>
      <c r="G81" s="7"/>
      <c r="H81" s="7"/>
      <c r="I81" s="7"/>
      <c r="J81" s="7"/>
      <c r="K81" s="7"/>
    </row>
    <row r="82" spans="1:11" x14ac:dyDescent="0.25">
      <c r="A82" s="31">
        <v>16</v>
      </c>
      <c r="B82" s="7" t="s">
        <v>233</v>
      </c>
      <c r="C82" s="32">
        <v>15150334</v>
      </c>
      <c r="D82" s="32" t="s">
        <v>170</v>
      </c>
      <c r="E82" s="7"/>
      <c r="F82" s="7"/>
      <c r="G82" s="7"/>
      <c r="H82" s="7"/>
      <c r="I82" s="7"/>
      <c r="J82" s="7"/>
      <c r="K82" s="7"/>
    </row>
    <row r="83" spans="1:11" x14ac:dyDescent="0.25">
      <c r="A83" s="31">
        <v>17</v>
      </c>
      <c r="B83" s="7" t="s">
        <v>233</v>
      </c>
      <c r="C83" s="32">
        <v>15150362</v>
      </c>
      <c r="D83" s="32" t="s">
        <v>172</v>
      </c>
      <c r="E83" s="7"/>
      <c r="F83" s="7"/>
      <c r="G83" s="7"/>
      <c r="H83" s="7"/>
      <c r="I83" s="7"/>
      <c r="J83" s="7"/>
      <c r="K83" s="7"/>
    </row>
    <row r="84" spans="1:11" x14ac:dyDescent="0.25">
      <c r="A84" s="31">
        <v>19</v>
      </c>
      <c r="B84" s="7" t="s">
        <v>233</v>
      </c>
      <c r="C84" s="32">
        <v>14150276</v>
      </c>
      <c r="D84" s="32" t="s">
        <v>173</v>
      </c>
      <c r="E84" s="7"/>
      <c r="F84" s="7"/>
      <c r="G84" s="7"/>
      <c r="H84" s="7"/>
      <c r="I84" s="7"/>
      <c r="J84" s="7"/>
      <c r="K84" s="7"/>
    </row>
    <row r="85" spans="1:11" x14ac:dyDescent="0.25">
      <c r="A85" s="31">
        <v>20</v>
      </c>
      <c r="B85" s="7" t="s">
        <v>233</v>
      </c>
      <c r="C85" s="32">
        <v>14151497</v>
      </c>
      <c r="D85" s="32" t="s">
        <v>175</v>
      </c>
      <c r="E85" s="7"/>
      <c r="F85" s="7"/>
      <c r="G85" s="7"/>
      <c r="H85" s="7"/>
      <c r="I85" s="7"/>
      <c r="J85" s="7"/>
      <c r="K85" s="7"/>
    </row>
    <row r="86" spans="1:11" x14ac:dyDescent="0.25">
      <c r="A86" s="31">
        <v>21</v>
      </c>
      <c r="B86" s="7" t="s">
        <v>233</v>
      </c>
      <c r="C86" s="32">
        <v>15150392</v>
      </c>
      <c r="D86" s="32" t="s">
        <v>177</v>
      </c>
      <c r="E86" s="7"/>
      <c r="F86" s="7"/>
      <c r="G86" s="7"/>
      <c r="H86" s="7"/>
      <c r="I86" s="7"/>
      <c r="J86" s="7"/>
      <c r="K86" s="7"/>
    </row>
    <row r="87" spans="1:11" x14ac:dyDescent="0.25">
      <c r="A87" s="31">
        <v>22</v>
      </c>
      <c r="B87" s="7" t="s">
        <v>233</v>
      </c>
      <c r="C87" s="32">
        <v>15150366</v>
      </c>
      <c r="D87" s="32" t="s">
        <v>178</v>
      </c>
      <c r="E87" s="7"/>
      <c r="F87" s="7"/>
      <c r="G87" s="7"/>
      <c r="H87" s="7"/>
      <c r="I87" s="7"/>
      <c r="J87" s="7"/>
      <c r="K87" s="7"/>
    </row>
    <row r="88" spans="1:11" x14ac:dyDescent="0.25">
      <c r="A88" s="31">
        <v>23</v>
      </c>
      <c r="B88" s="7" t="s">
        <v>233</v>
      </c>
      <c r="C88" s="32">
        <v>15150329</v>
      </c>
      <c r="D88" s="32" t="s">
        <v>57</v>
      </c>
      <c r="E88" s="7"/>
      <c r="F88" s="7"/>
      <c r="G88" s="7"/>
      <c r="H88" s="7"/>
      <c r="I88" s="7"/>
      <c r="J88" s="7"/>
      <c r="K88" s="7"/>
    </row>
    <row r="89" spans="1:11" x14ac:dyDescent="0.25">
      <c r="A89" s="31">
        <v>24</v>
      </c>
      <c r="B89" s="7" t="s">
        <v>233</v>
      </c>
      <c r="C89" s="32">
        <v>15150337</v>
      </c>
      <c r="D89" s="32" t="s">
        <v>181</v>
      </c>
      <c r="E89" s="7"/>
      <c r="F89" s="7"/>
      <c r="G89" s="7"/>
      <c r="H89" s="7"/>
      <c r="I89" s="7"/>
      <c r="J89" s="7"/>
      <c r="K89" s="7"/>
    </row>
    <row r="90" spans="1:11" x14ac:dyDescent="0.25">
      <c r="A90" s="31">
        <v>25</v>
      </c>
      <c r="B90" s="7" t="s">
        <v>233</v>
      </c>
      <c r="C90" s="32">
        <v>15150348</v>
      </c>
      <c r="D90" s="32" t="s">
        <v>183</v>
      </c>
      <c r="E90" s="7"/>
      <c r="F90" s="7"/>
      <c r="G90" s="7"/>
      <c r="H90" s="7"/>
      <c r="I90" s="7"/>
      <c r="J90" s="7"/>
      <c r="K90" s="7"/>
    </row>
    <row r="91" spans="1:11" x14ac:dyDescent="0.25">
      <c r="A91" s="31">
        <v>26</v>
      </c>
      <c r="B91" s="7" t="s">
        <v>233</v>
      </c>
      <c r="C91" s="32">
        <v>15150401</v>
      </c>
      <c r="D91" s="32" t="s">
        <v>135</v>
      </c>
      <c r="E91" s="7"/>
      <c r="F91" s="7"/>
      <c r="G91" s="7"/>
      <c r="H91" s="7"/>
      <c r="I91" s="7"/>
      <c r="J91" s="7"/>
      <c r="K91" s="7"/>
    </row>
    <row r="92" spans="1:11" x14ac:dyDescent="0.25">
      <c r="A92" s="33">
        <v>27</v>
      </c>
      <c r="B92" s="7" t="s">
        <v>233</v>
      </c>
      <c r="C92" s="32">
        <v>15150339</v>
      </c>
      <c r="D92" s="32" t="s">
        <v>72</v>
      </c>
      <c r="E92" s="7"/>
      <c r="F92" s="7"/>
      <c r="G92" s="7"/>
      <c r="H92" s="7"/>
      <c r="I92" s="7"/>
      <c r="J92" s="7"/>
      <c r="K92" s="7"/>
    </row>
    <row r="93" spans="1:11" x14ac:dyDescent="0.25">
      <c r="A93" s="31">
        <v>28</v>
      </c>
      <c r="B93" s="7" t="s">
        <v>233</v>
      </c>
      <c r="C93" s="32">
        <v>15150409</v>
      </c>
      <c r="D93" s="32" t="s">
        <v>141</v>
      </c>
      <c r="E93" s="7"/>
      <c r="F93" s="7"/>
      <c r="G93" s="7"/>
      <c r="H93" s="7"/>
      <c r="I93" s="7"/>
      <c r="J93" s="7"/>
      <c r="K93" s="7"/>
    </row>
    <row r="94" spans="1:11" x14ac:dyDescent="0.25">
      <c r="A94" s="31">
        <v>29</v>
      </c>
      <c r="B94" s="7" t="s">
        <v>233</v>
      </c>
      <c r="C94" s="32">
        <v>15150340</v>
      </c>
      <c r="D94" s="32" t="s">
        <v>127</v>
      </c>
      <c r="E94" s="7"/>
      <c r="F94" s="7"/>
      <c r="G94" s="7"/>
      <c r="H94" s="7"/>
      <c r="I94" s="7"/>
      <c r="J94" s="7"/>
      <c r="K94" s="7"/>
    </row>
    <row r="95" spans="1:11" x14ac:dyDescent="0.25">
      <c r="A95" s="31">
        <v>30</v>
      </c>
      <c r="B95" s="7" t="s">
        <v>233</v>
      </c>
      <c r="C95" s="32">
        <v>15150391</v>
      </c>
      <c r="D95" s="32" t="s">
        <v>186</v>
      </c>
      <c r="E95" s="7"/>
      <c r="F95" s="7"/>
      <c r="G95" s="7"/>
      <c r="H95" s="7"/>
      <c r="I95" s="7"/>
      <c r="J95" s="7"/>
      <c r="K95" s="7"/>
    </row>
    <row r="96" spans="1:11" x14ac:dyDescent="0.25">
      <c r="A96" s="31">
        <v>31</v>
      </c>
      <c r="B96" s="7" t="s">
        <v>233</v>
      </c>
      <c r="C96" s="32">
        <v>14150028</v>
      </c>
      <c r="D96" s="32" t="s">
        <v>188</v>
      </c>
      <c r="E96" s="7"/>
      <c r="F96" s="7"/>
      <c r="G96" s="7"/>
      <c r="H96" s="7"/>
      <c r="I96" s="7"/>
      <c r="J96" s="7"/>
      <c r="K96" s="7"/>
    </row>
    <row r="97" spans="1:11" x14ac:dyDescent="0.25">
      <c r="A97" s="31">
        <v>32</v>
      </c>
      <c r="B97" s="7" t="s">
        <v>233</v>
      </c>
      <c r="C97" s="32">
        <v>15150349</v>
      </c>
      <c r="D97" s="32" t="s">
        <v>96</v>
      </c>
      <c r="E97" s="7"/>
      <c r="F97" s="7"/>
      <c r="G97" s="7"/>
      <c r="H97" s="7"/>
      <c r="I97" s="7"/>
      <c r="J97" s="7"/>
      <c r="K97" s="7"/>
    </row>
    <row r="98" spans="1:11" x14ac:dyDescent="0.25">
      <c r="A98" s="31">
        <v>33</v>
      </c>
      <c r="B98" s="7" t="s">
        <v>233</v>
      </c>
      <c r="C98" s="32">
        <v>15150360</v>
      </c>
      <c r="D98" s="32" t="s">
        <v>190</v>
      </c>
      <c r="E98" s="7"/>
      <c r="F98" s="7"/>
      <c r="G98" s="7"/>
      <c r="H98" s="7"/>
      <c r="I98" s="7"/>
      <c r="J98" s="7"/>
      <c r="K98" s="7"/>
    </row>
    <row r="99" spans="1:11" x14ac:dyDescent="0.25">
      <c r="A99" s="31">
        <v>34</v>
      </c>
      <c r="B99" s="7" t="s">
        <v>233</v>
      </c>
      <c r="C99" s="32">
        <v>15150373</v>
      </c>
      <c r="D99" s="32" t="s">
        <v>85</v>
      </c>
      <c r="E99" s="7"/>
      <c r="F99" s="7"/>
      <c r="G99" s="7"/>
      <c r="H99" s="7"/>
      <c r="I99" s="7"/>
      <c r="J99" s="7"/>
      <c r="K99" s="7"/>
    </row>
    <row r="100" spans="1:11" x14ac:dyDescent="0.25">
      <c r="A100" s="31">
        <v>35</v>
      </c>
      <c r="B100" s="7" t="s">
        <v>233</v>
      </c>
      <c r="C100" s="32">
        <v>15150384</v>
      </c>
      <c r="D100" s="32" t="s">
        <v>191</v>
      </c>
      <c r="E100" s="7"/>
      <c r="F100" s="7"/>
      <c r="G100" s="7"/>
      <c r="H100" s="7"/>
      <c r="I100" s="7"/>
      <c r="J100" s="7"/>
      <c r="K100" s="7"/>
    </row>
    <row r="101" spans="1:11" x14ac:dyDescent="0.25">
      <c r="A101" s="31">
        <v>36</v>
      </c>
      <c r="B101" s="7" t="s">
        <v>233</v>
      </c>
      <c r="C101" s="32">
        <v>15150350</v>
      </c>
      <c r="D101" s="32" t="s">
        <v>133</v>
      </c>
      <c r="E101" s="7"/>
      <c r="F101" s="7"/>
      <c r="G101" s="7"/>
      <c r="H101" s="7"/>
      <c r="I101" s="7"/>
      <c r="J101" s="7"/>
      <c r="K101" s="7"/>
    </row>
    <row r="102" spans="1:11" x14ac:dyDescent="0.25">
      <c r="A102" s="31">
        <v>37</v>
      </c>
      <c r="B102" s="7" t="s">
        <v>233</v>
      </c>
      <c r="C102" s="32">
        <v>15150405</v>
      </c>
      <c r="D102" s="32" t="s">
        <v>70</v>
      </c>
      <c r="E102" s="7"/>
      <c r="F102" s="7"/>
      <c r="G102" s="7"/>
      <c r="H102" s="7"/>
      <c r="I102" s="7"/>
      <c r="J102" s="7"/>
      <c r="K102" s="7"/>
    </row>
    <row r="103" spans="1:11" x14ac:dyDescent="0.25">
      <c r="A103" s="31">
        <v>38</v>
      </c>
      <c r="B103" s="7" t="s">
        <v>233</v>
      </c>
      <c r="C103" s="32">
        <v>15150375</v>
      </c>
      <c r="D103" s="32" t="s">
        <v>132</v>
      </c>
      <c r="E103" s="7"/>
      <c r="F103" s="7"/>
      <c r="G103" s="7"/>
      <c r="H103" s="7"/>
      <c r="I103" s="7"/>
      <c r="J103" s="7"/>
      <c r="K103" s="7"/>
    </row>
    <row r="104" spans="1:11" x14ac:dyDescent="0.25">
      <c r="A104" s="31">
        <v>39</v>
      </c>
      <c r="B104" s="7" t="s">
        <v>233</v>
      </c>
      <c r="C104" s="32">
        <v>15150419</v>
      </c>
      <c r="D104" s="32" t="s">
        <v>193</v>
      </c>
      <c r="E104" s="7"/>
      <c r="F104" s="7"/>
      <c r="G104" s="7"/>
      <c r="H104" s="7"/>
      <c r="I104" s="7"/>
      <c r="J104" s="7"/>
      <c r="K104" s="7"/>
    </row>
    <row r="105" spans="1:11" x14ac:dyDescent="0.25">
      <c r="A105" s="31">
        <v>40</v>
      </c>
      <c r="B105" s="7" t="s">
        <v>233</v>
      </c>
      <c r="C105" s="32">
        <v>15150381</v>
      </c>
      <c r="D105" s="32" t="s">
        <v>194</v>
      </c>
      <c r="E105" s="7"/>
      <c r="F105" s="7"/>
      <c r="G105" s="7"/>
      <c r="H105" s="7"/>
      <c r="I105" s="7"/>
      <c r="J105" s="7"/>
      <c r="K105" s="7"/>
    </row>
    <row r="106" spans="1:11" x14ac:dyDescent="0.25">
      <c r="A106" s="31">
        <v>41</v>
      </c>
      <c r="B106" s="7" t="s">
        <v>233</v>
      </c>
      <c r="C106" s="32">
        <v>15150423</v>
      </c>
      <c r="D106" s="32" t="s">
        <v>196</v>
      </c>
      <c r="E106" s="7"/>
      <c r="F106" s="7"/>
      <c r="G106" s="7"/>
      <c r="H106" s="7"/>
      <c r="I106" s="7"/>
      <c r="J106" s="7"/>
      <c r="K106" s="7"/>
    </row>
    <row r="107" spans="1:11" x14ac:dyDescent="0.25">
      <c r="A107" s="31">
        <v>42</v>
      </c>
      <c r="B107" s="7" t="s">
        <v>233</v>
      </c>
      <c r="C107" s="32">
        <v>15150376</v>
      </c>
      <c r="D107" s="32" t="s">
        <v>197</v>
      </c>
      <c r="E107" s="7"/>
      <c r="F107" s="7"/>
      <c r="G107" s="7"/>
      <c r="H107" s="7"/>
      <c r="I107" s="7"/>
      <c r="J107" s="7"/>
      <c r="K107" s="7"/>
    </row>
    <row r="108" spans="1:11" x14ac:dyDescent="0.25">
      <c r="A108" s="31">
        <v>43</v>
      </c>
      <c r="B108" s="7" t="s">
        <v>233</v>
      </c>
      <c r="C108" s="32">
        <v>15150365</v>
      </c>
      <c r="D108" s="32" t="s">
        <v>198</v>
      </c>
      <c r="E108" s="7"/>
      <c r="F108" s="7"/>
      <c r="G108" s="7"/>
      <c r="H108" s="7"/>
      <c r="I108" s="7"/>
      <c r="J108" s="7"/>
      <c r="K108" s="7"/>
    </row>
    <row r="109" spans="1:11" x14ac:dyDescent="0.25">
      <c r="A109" s="31">
        <v>44</v>
      </c>
      <c r="B109" s="7" t="s">
        <v>233</v>
      </c>
      <c r="C109" s="32">
        <v>15150351</v>
      </c>
      <c r="D109" s="32" t="s">
        <v>129</v>
      </c>
      <c r="E109" s="7"/>
      <c r="F109" s="7"/>
      <c r="G109" s="7"/>
      <c r="H109" s="7"/>
      <c r="I109" s="7"/>
      <c r="J109" s="7"/>
      <c r="K109" s="7"/>
    </row>
    <row r="110" spans="1:11" x14ac:dyDescent="0.25">
      <c r="A110" s="31">
        <v>45</v>
      </c>
      <c r="B110" s="7" t="s">
        <v>233</v>
      </c>
      <c r="C110" s="32">
        <v>15150356</v>
      </c>
      <c r="D110" s="32" t="s">
        <v>131</v>
      </c>
      <c r="E110" s="7"/>
      <c r="F110" s="7"/>
      <c r="G110" s="7"/>
      <c r="H110" s="7"/>
      <c r="I110" s="7"/>
      <c r="J110" s="7"/>
      <c r="K110" s="7"/>
    </row>
    <row r="111" spans="1:11" x14ac:dyDescent="0.25">
      <c r="A111" s="31">
        <v>47</v>
      </c>
      <c r="B111" s="7" t="s">
        <v>233</v>
      </c>
      <c r="C111" s="32">
        <v>15150398</v>
      </c>
      <c r="D111" s="32" t="s">
        <v>71</v>
      </c>
      <c r="E111" s="7"/>
      <c r="F111" s="7"/>
      <c r="G111" s="7"/>
      <c r="H111" s="7"/>
      <c r="I111" s="7"/>
      <c r="J111" s="7"/>
      <c r="K111" s="7"/>
    </row>
    <row r="112" spans="1:11" x14ac:dyDescent="0.25">
      <c r="A112" s="31">
        <v>48</v>
      </c>
      <c r="B112" s="7" t="s">
        <v>233</v>
      </c>
      <c r="C112" s="32">
        <v>15150416</v>
      </c>
      <c r="D112" s="32" t="s">
        <v>202</v>
      </c>
      <c r="E112" s="7"/>
      <c r="F112" s="7"/>
      <c r="G112" s="7"/>
      <c r="H112" s="7"/>
      <c r="I112" s="7"/>
      <c r="J112" s="7"/>
      <c r="K112" s="7"/>
    </row>
    <row r="113" spans="1:11" x14ac:dyDescent="0.25">
      <c r="A113" s="31">
        <v>49</v>
      </c>
      <c r="B113" s="7" t="s">
        <v>233</v>
      </c>
      <c r="C113" s="32">
        <v>15150387</v>
      </c>
      <c r="D113" s="32" t="s">
        <v>69</v>
      </c>
      <c r="E113" s="7"/>
      <c r="F113" s="7"/>
      <c r="G113" s="7"/>
      <c r="H113" s="7"/>
      <c r="I113" s="7"/>
      <c r="J113" s="7"/>
      <c r="K113" s="7"/>
    </row>
    <row r="114" spans="1:11" x14ac:dyDescent="0.25">
      <c r="A114" s="31">
        <v>50</v>
      </c>
      <c r="B114" s="7" t="s">
        <v>233</v>
      </c>
      <c r="C114" s="32">
        <v>15150359</v>
      </c>
      <c r="D114" s="32" t="s">
        <v>205</v>
      </c>
      <c r="E114" s="7"/>
      <c r="F114" s="7"/>
      <c r="G114" s="7"/>
      <c r="H114" s="7"/>
      <c r="I114" s="7"/>
      <c r="J114" s="7"/>
      <c r="K114" s="7"/>
    </row>
    <row r="115" spans="1:11" x14ac:dyDescent="0.25">
      <c r="A115" s="31">
        <v>51</v>
      </c>
      <c r="B115" s="7" t="s">
        <v>233</v>
      </c>
      <c r="C115" s="32">
        <v>15150406</v>
      </c>
      <c r="D115" s="32" t="s">
        <v>207</v>
      </c>
      <c r="E115" s="7"/>
      <c r="F115" s="7"/>
      <c r="G115" s="7"/>
      <c r="H115" s="7"/>
      <c r="I115" s="7"/>
      <c r="J115" s="7"/>
      <c r="K115" s="7"/>
    </row>
    <row r="116" spans="1:11" x14ac:dyDescent="0.25">
      <c r="A116" s="31">
        <v>52</v>
      </c>
      <c r="B116" s="7" t="s">
        <v>233</v>
      </c>
      <c r="C116" s="32">
        <v>15150058</v>
      </c>
      <c r="D116" s="32" t="s">
        <v>208</v>
      </c>
      <c r="E116" s="7"/>
      <c r="F116" s="7"/>
      <c r="G116" s="7"/>
      <c r="H116" s="7"/>
      <c r="I116" s="7"/>
      <c r="J116" s="7"/>
      <c r="K116" s="7"/>
    </row>
    <row r="117" spans="1:11" x14ac:dyDescent="0.25">
      <c r="A117" s="31">
        <v>53</v>
      </c>
      <c r="B117" s="7" t="s">
        <v>233</v>
      </c>
      <c r="C117" s="32">
        <v>15150374</v>
      </c>
      <c r="D117" s="32" t="s">
        <v>209</v>
      </c>
      <c r="E117" s="7"/>
      <c r="F117" s="7"/>
      <c r="G117" s="7"/>
      <c r="H117" s="7"/>
      <c r="I117" s="7"/>
      <c r="J117" s="7"/>
      <c r="K117" s="7"/>
    </row>
    <row r="118" spans="1:11" x14ac:dyDescent="0.25">
      <c r="A118" s="31">
        <v>54</v>
      </c>
      <c r="B118" s="7" t="s">
        <v>233</v>
      </c>
      <c r="C118" s="32">
        <v>15150397</v>
      </c>
      <c r="D118" s="32" t="s">
        <v>211</v>
      </c>
      <c r="E118" s="7"/>
      <c r="F118" s="7"/>
      <c r="G118" s="7"/>
      <c r="H118" s="7"/>
      <c r="I118" s="7"/>
      <c r="J118" s="7"/>
      <c r="K118" s="7"/>
    </row>
    <row r="119" spans="1:11" x14ac:dyDescent="0.25">
      <c r="A119" s="31">
        <v>55</v>
      </c>
      <c r="B119" s="7" t="s">
        <v>233</v>
      </c>
      <c r="C119" s="32">
        <v>15150379</v>
      </c>
      <c r="D119" s="32" t="s">
        <v>212</v>
      </c>
      <c r="E119" s="7"/>
      <c r="F119" s="7"/>
      <c r="G119" s="7"/>
      <c r="H119" s="7"/>
      <c r="I119" s="7"/>
      <c r="J119" s="7"/>
      <c r="K119" s="7"/>
    </row>
    <row r="120" spans="1:11" x14ac:dyDescent="0.25">
      <c r="A120" s="31">
        <v>56</v>
      </c>
      <c r="B120" s="7" t="s">
        <v>233</v>
      </c>
      <c r="C120" s="32">
        <v>15151680</v>
      </c>
      <c r="D120" s="32" t="s">
        <v>213</v>
      </c>
      <c r="E120" s="7"/>
      <c r="F120" s="7"/>
      <c r="G120" s="7"/>
      <c r="H120" s="7"/>
      <c r="I120" s="7"/>
      <c r="J120" s="7"/>
      <c r="K120" s="7"/>
    </row>
  </sheetData>
  <mergeCells count="14">
    <mergeCell ref="E65:J65"/>
    <mergeCell ref="A1:I1"/>
    <mergeCell ref="B3:D3"/>
    <mergeCell ref="E5:J5"/>
    <mergeCell ref="A5:A6"/>
    <mergeCell ref="B5:B6"/>
    <mergeCell ref="C5:C6"/>
    <mergeCell ref="D5:D6"/>
    <mergeCell ref="A61:D61"/>
    <mergeCell ref="B63:D63"/>
    <mergeCell ref="A65:A66"/>
    <mergeCell ref="B65:B66"/>
    <mergeCell ref="C65:C66"/>
    <mergeCell ref="D65:D6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Tổng hợp DL kỳ của Khoa</vt:lpstr>
      <vt:lpstr>Tổng dữ liệu kỳ</vt:lpstr>
      <vt:lpstr>Tổng hợp điểm theo lớp</vt:lpstr>
      <vt:lpstr>Tổng hợp kết quảSV theo năm</vt:lpstr>
      <vt:lpstr>Phân bố học tập theo kỳ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Pi</dc:creator>
  <cp:lastModifiedBy>Toan Dr</cp:lastModifiedBy>
  <dcterms:created xsi:type="dcterms:W3CDTF">2018-01-24T13:19:39Z</dcterms:created>
  <dcterms:modified xsi:type="dcterms:W3CDTF">2018-03-03T10:06:18Z</dcterms:modified>
</cp:coreProperties>
</file>